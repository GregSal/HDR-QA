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1985" yWindow="-15" windowWidth="12030" windowHeight="15180" firstSheet="5" activeTab="11"/>
  </bookViews>
  <sheets>
    <sheet name="18th December 2008" sheetId="6" r:id="rId1"/>
    <sheet name="4th  Feb 2010" sheetId="7" r:id="rId2"/>
    <sheet name="September 10 2010" sheetId="8" r:id="rId3"/>
    <sheet name="December 6 2010" sheetId="9" r:id="rId4"/>
    <sheet name="Feb 24 2011" sheetId="11" r:id="rId5"/>
    <sheet name="Sept 7 2011" sheetId="12" r:id="rId6"/>
    <sheet name="Dec 2 2011" sheetId="13" r:id="rId7"/>
    <sheet name="Sept 10 2012" sheetId="14" r:id="rId8"/>
    <sheet name="June 18 2013" sheetId="15" r:id="rId9"/>
    <sheet name="Dec 16 2013" sheetId="16" r:id="rId10"/>
    <sheet name="Sept 5 2014" sheetId="17" r:id="rId11"/>
    <sheet name="Sept 7 2017" sheetId="18" r:id="rId12"/>
  </sheets>
  <definedNames>
    <definedName name="_xlnm.Print_Area" localSheetId="0">'18th December 2008'!$A$1:$F$12</definedName>
    <definedName name="_xlnm.Print_Area" localSheetId="1">'4th  Feb 2010'!$A$1:$F$12</definedName>
    <definedName name="_xlnm.Print_Area" localSheetId="9">'Dec 16 2013'!$A$1:$H$22</definedName>
    <definedName name="_xlnm.Print_Area" localSheetId="6">'Dec 2 2011'!$A$1:$H$22</definedName>
    <definedName name="_xlnm.Print_Area" localSheetId="3">'December 6 2010'!$A$1:$F$30</definedName>
    <definedName name="_xlnm.Print_Area" localSheetId="4">'Feb 24 2011'!$A$1:$H$22</definedName>
    <definedName name="_xlnm.Print_Area" localSheetId="8">'June 18 2013'!$A$1:$H$22</definedName>
    <definedName name="_xlnm.Print_Area" localSheetId="7">'Sept 10 2012'!$A$1:$H$22</definedName>
    <definedName name="_xlnm.Print_Area" localSheetId="10">'Sept 5 2014'!$A$1:$H$22</definedName>
    <definedName name="_xlnm.Print_Area" localSheetId="5">'Sept 7 2011'!$A$1:$H$22</definedName>
    <definedName name="_xlnm.Print_Area" localSheetId="11">'Sept 7 2017'!$A$1:$H$22</definedName>
    <definedName name="_xlnm.Print_Area" localSheetId="2">'September 10 2010'!$A$1:$F$30</definedName>
  </definedNames>
  <calcPr calcId="145621"/>
</workbook>
</file>

<file path=xl/calcChain.xml><?xml version="1.0" encoding="utf-8"?>
<calcChain xmlns="http://schemas.openxmlformats.org/spreadsheetml/2006/main">
  <c r="E5" i="18" l="1"/>
  <c r="C14" i="18" s="1"/>
  <c r="D15" i="18" s="1"/>
  <c r="D6" i="18"/>
  <c r="C9" i="18"/>
  <c r="H10" i="18"/>
  <c r="D13" i="18"/>
  <c r="D16" i="18" s="1"/>
  <c r="C18" i="18"/>
  <c r="C20" i="18" s="1"/>
  <c r="D21" i="18" s="1"/>
  <c r="D22" i="18" s="1"/>
  <c r="E5" i="17" l="1"/>
  <c r="C14" i="17" s="1"/>
  <c r="D15" i="17" s="1"/>
  <c r="D6" i="17"/>
  <c r="H10" i="17"/>
  <c r="C9" i="17" s="1"/>
  <c r="D13" i="17" s="1"/>
  <c r="D16" i="17" s="1"/>
  <c r="C18" i="17"/>
  <c r="C20" i="17" s="1"/>
  <c r="D21" i="17" s="1"/>
  <c r="D22" i="17" s="1"/>
  <c r="E5" i="16" l="1"/>
  <c r="C14" i="16" s="1"/>
  <c r="D15" i="16" s="1"/>
  <c r="D6" i="16"/>
  <c r="C9" i="16"/>
  <c r="H10" i="16"/>
  <c r="D13" i="16"/>
  <c r="D16" i="16" s="1"/>
  <c r="C18" i="16"/>
  <c r="C20" i="16" s="1"/>
  <c r="D21" i="16" s="1"/>
  <c r="D22" i="16" s="1"/>
  <c r="C18" i="15" l="1"/>
  <c r="H10" i="15"/>
  <c r="C9" i="15" s="1"/>
  <c r="D13" i="15" s="1"/>
  <c r="D6" i="15"/>
  <c r="E5" i="15"/>
  <c r="C14" i="15" s="1"/>
  <c r="D15" i="15" s="1"/>
  <c r="E5" i="14"/>
  <c r="C14" i="14"/>
  <c r="D15" i="14"/>
  <c r="D6" i="14"/>
  <c r="H10" i="14"/>
  <c r="C9" i="14"/>
  <c r="D13" i="14"/>
  <c r="D16" i="14"/>
  <c r="C20" i="14"/>
  <c r="D21" i="14"/>
  <c r="D22" i="14"/>
  <c r="E5" i="12"/>
  <c r="C20" i="12"/>
  <c r="D21" i="12"/>
  <c r="D22" i="12"/>
  <c r="D6" i="12"/>
  <c r="H10" i="12"/>
  <c r="C9" i="12"/>
  <c r="C11" i="12"/>
  <c r="C14" i="12"/>
  <c r="D15" i="12"/>
  <c r="E5" i="9"/>
  <c r="D6" i="9"/>
  <c r="C11" i="9"/>
  <c r="D13" i="9"/>
  <c r="C14" i="9"/>
  <c r="D15" i="9"/>
  <c r="D16" i="9"/>
  <c r="C20" i="9"/>
  <c r="D21" i="9"/>
  <c r="D22" i="9"/>
  <c r="C11" i="8"/>
  <c r="D13" i="8"/>
  <c r="D16" i="8"/>
  <c r="E5" i="8"/>
  <c r="C20" i="8"/>
  <c r="D21" i="8"/>
  <c r="D22" i="8"/>
  <c r="C14" i="8"/>
  <c r="D15" i="8"/>
  <c r="D6" i="8"/>
  <c r="C8" i="7"/>
  <c r="D7" i="7"/>
  <c r="D7" i="6"/>
  <c r="B8" i="6"/>
  <c r="D8" i="6"/>
  <c r="D10" i="6"/>
  <c r="B8" i="7"/>
  <c r="D8" i="7"/>
  <c r="D10" i="7"/>
  <c r="E5" i="11"/>
  <c r="D6" i="11"/>
  <c r="H10" i="11"/>
  <c r="C9" i="11"/>
  <c r="D13" i="11"/>
  <c r="D16" i="11"/>
  <c r="C11" i="11"/>
  <c r="C14" i="11"/>
  <c r="D15" i="11"/>
  <c r="C20" i="11"/>
  <c r="D21" i="11"/>
  <c r="D22" i="11"/>
  <c r="E5" i="13"/>
  <c r="D6" i="13"/>
  <c r="H10" i="13"/>
  <c r="C9" i="13"/>
  <c r="D13" i="13"/>
  <c r="D16" i="13"/>
  <c r="C11" i="13"/>
  <c r="C14" i="13"/>
  <c r="D15" i="13"/>
  <c r="C20" i="13"/>
  <c r="D21" i="13"/>
  <c r="D22" i="13"/>
  <c r="D13" i="12"/>
  <c r="D16" i="12"/>
  <c r="D16" i="15" l="1"/>
  <c r="C20" i="15"/>
  <c r="D21" i="15" s="1"/>
  <c r="D22" i="15" s="1"/>
</calcChain>
</file>

<file path=xl/comments1.xml><?xml version="1.0" encoding="utf-8"?>
<comments xmlns="http://schemas.openxmlformats.org/spreadsheetml/2006/main">
  <authors>
    <author>Avadhani</author>
    <author>cjoshi</author>
  </authors>
  <commentList>
    <comment ref="A2" authorId="0">
      <text>
        <r>
          <rPr>
            <b/>
            <sz val="22"/>
            <color indexed="81"/>
            <rFont val="Tahoma"/>
            <family val="2"/>
          </rPr>
          <t>Enter The Readings at YELLOW Colors</t>
        </r>
        <r>
          <rPr>
            <sz val="22"/>
            <color indexed="81"/>
            <rFont val="Tahoma"/>
            <family val="2"/>
          </rPr>
          <t xml:space="preserve">
</t>
        </r>
      </text>
    </comment>
    <comment ref="B4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enter date and time in correct format e.g
27 Aug 2008 17:00
</t>
        </r>
      </text>
    </comment>
    <comment ref="B7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cjoshi:
enter date and time in correct format e.g
15 Aug 2008 11:28</t>
        </r>
      </text>
    </comment>
    <comment ref="B8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time difference between Holland and Canada accounted for</t>
        </r>
      </text>
    </comment>
  </commentList>
</comments>
</file>

<file path=xl/comments2.xml><?xml version="1.0" encoding="utf-8"?>
<comments xmlns="http://schemas.openxmlformats.org/spreadsheetml/2006/main">
  <authors>
    <author>cjoshi</author>
  </authors>
  <commentList>
    <comment ref="B8" authorId="0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time difference between Holland and Canada accounted for</t>
        </r>
      </text>
    </comment>
  </commentList>
</comments>
</file>

<file path=xl/sharedStrings.xml><?xml version="1.0" encoding="utf-8"?>
<sst xmlns="http://schemas.openxmlformats.org/spreadsheetml/2006/main" count="411" uniqueCount="52">
  <si>
    <t xml:space="preserve"> </t>
  </si>
  <si>
    <t>Activity on Console</t>
  </si>
  <si>
    <t>Department of Medical Physics, Cancer Centre of Southe Eastern Ontario @ KGH</t>
  </si>
  <si>
    <r>
      <t xml:space="preserve">Calibration of </t>
    </r>
    <r>
      <rPr>
        <b/>
        <u/>
        <vertAlign val="superscript"/>
        <sz val="11"/>
        <rFont val="Times New Roman"/>
        <family val="1"/>
      </rPr>
      <t>192</t>
    </r>
    <r>
      <rPr>
        <b/>
        <u/>
        <sz val="11"/>
        <rFont val="Times New Roman"/>
        <family val="1"/>
      </rPr>
      <t>Ir HDR Source (Flexisource)</t>
    </r>
  </si>
  <si>
    <t>Activity stated by manufacturer</t>
  </si>
  <si>
    <t>Decay Factor</t>
  </si>
  <si>
    <t>Activity at present, Manufacturer's calibration</t>
  </si>
  <si>
    <t>GBq</t>
  </si>
  <si>
    <t>Date and Time:</t>
  </si>
  <si>
    <r>
      <t>U (</t>
    </r>
    <r>
      <rPr>
        <sz val="10"/>
        <rFont val="Symbol"/>
        <family val="1"/>
        <charset val="2"/>
      </rPr>
      <t>m</t>
    </r>
    <r>
      <rPr>
        <sz val="10"/>
        <rFont val="Times New Roman"/>
        <family val="1"/>
      </rPr>
      <t>Gy 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h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</si>
  <si>
    <r>
      <t>U (</t>
    </r>
    <r>
      <rPr>
        <b/>
        <sz val="10"/>
        <rFont val="Symbol"/>
        <family val="1"/>
        <charset val="2"/>
      </rPr>
      <t>m</t>
    </r>
    <r>
      <rPr>
        <b/>
        <sz val="10"/>
        <rFont val="Times New Roman"/>
        <family val="1"/>
      </rPr>
      <t>Gy 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h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>)</t>
    </r>
  </si>
  <si>
    <t>Manufacturer's source strenght on</t>
  </si>
  <si>
    <t xml:space="preserve">Manufaturer's Calibration: </t>
  </si>
  <si>
    <t>CCSEO Batch No.: 2</t>
  </si>
  <si>
    <t>Flexisource No.: NLF 01 D85A-091</t>
  </si>
  <si>
    <t>CCSEO Batch No.: 6</t>
  </si>
  <si>
    <t>Flexisource No.: NLF 01 D85A-235</t>
  </si>
  <si>
    <t>CCSEO Batch No.: 8</t>
  </si>
  <si>
    <t>Flexisource No.: NLF 01 D85A-339</t>
  </si>
  <si>
    <t>(Holland)</t>
  </si>
  <si>
    <t>(Here)</t>
  </si>
  <si>
    <t>Manufacturer's source strength on</t>
  </si>
  <si>
    <t xml:space="preserve">Local Calibration: </t>
  </si>
  <si>
    <t xml:space="preserve">Manufacturer's Calibration: </t>
  </si>
  <si>
    <t>Average Current</t>
  </si>
  <si>
    <t>Calibration Factor</t>
  </si>
  <si>
    <t>Measured Activity</t>
  </si>
  <si>
    <t>nA</t>
  </si>
  <si>
    <t>% difference</t>
  </si>
  <si>
    <t>Expected activity from manufacturer</t>
  </si>
  <si>
    <t>Activity set on Console</t>
  </si>
  <si>
    <t xml:space="preserve">Console Activity </t>
  </si>
  <si>
    <r>
      <t>C</t>
    </r>
    <r>
      <rPr>
        <vertAlign val="subscript"/>
        <sz val="10"/>
        <rFont val="Times New Roman"/>
        <family val="1"/>
      </rPr>
      <t>TP</t>
    </r>
  </si>
  <si>
    <r>
      <t>P</t>
    </r>
    <r>
      <rPr>
        <vertAlign val="subscript"/>
        <sz val="10"/>
        <rFont val="Times New Roman"/>
        <family val="1"/>
      </rPr>
      <t>ion</t>
    </r>
  </si>
  <si>
    <r>
      <t>U/A (</t>
    </r>
    <r>
      <rPr>
        <sz val="10"/>
        <rFont val="Symbol"/>
        <family val="1"/>
        <charset val="2"/>
      </rPr>
      <t>m</t>
    </r>
    <r>
      <rPr>
        <sz val="10"/>
        <rFont val="Times New Roman"/>
        <family val="1"/>
      </rPr>
      <t>Gy 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h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nA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</si>
  <si>
    <t>CCSEO Batch No.: 9</t>
  </si>
  <si>
    <t>Flexisource No.: NLF 01 D85A-388</t>
  </si>
  <si>
    <t xml:space="preserve">    ((T+273) x 760)/(Px295) =</t>
  </si>
  <si>
    <t>CCSEO Batch No.: 10</t>
  </si>
  <si>
    <t>Tempurature</t>
  </si>
  <si>
    <t>Pressure</t>
  </si>
  <si>
    <r>
      <t>C</t>
    </r>
    <r>
      <rPr>
        <b/>
        <vertAlign val="subscript"/>
        <sz val="10"/>
        <rFont val="Times New Roman"/>
        <family val="1"/>
      </rPr>
      <t>TP</t>
    </r>
  </si>
  <si>
    <t>Flexisource No.: NLF 01 D85A-587</t>
  </si>
  <si>
    <t>((T+273) x 760)/(Px295)</t>
  </si>
  <si>
    <t>CCSEO Batch No.: 13</t>
  </si>
  <si>
    <t>CCSEO Batch No.: 16</t>
  </si>
  <si>
    <t>CCSEO Batch No.: 20</t>
  </si>
  <si>
    <t>Flexisource No.: NLF 01 D85B-161</t>
  </si>
  <si>
    <t>CCSEO Batch No.: 22</t>
  </si>
  <si>
    <t>Flexisource No.: NLF 01 D85E0220</t>
  </si>
  <si>
    <t>CCSEO Batch No.: 25</t>
  </si>
  <si>
    <t>CCSEO Batch No.: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</si>
</sst>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h:mm;@"/>
    <numFmt numFmtId="165" formatCode="0.0"/>
    <numFmt numFmtId="166" formatCode="0.0000"/>
    <numFmt numFmtId="167" formatCode="0.000"/>
    <numFmt numFmtId="168" formatCode="m/d/yy\ h:mm;@"/>
  </numFmts>
  <fonts count="28" x14ac:knownFonts="1">
    <font>
      <sz val="10"/>
      <name val="Arial"/>
    </font>
    <font>
      <sz val="8"/>
      <name val="Arial"/>
      <family val="2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1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u/>
      <sz val="8"/>
      <name val="Times New Roman"/>
      <family val="1"/>
    </font>
    <font>
      <b/>
      <u/>
      <vertAlign val="superscript"/>
      <sz val="11"/>
      <name val="Times New Roman"/>
      <family val="1"/>
    </font>
    <font>
      <sz val="11"/>
      <name val="Arial"/>
      <family val="2"/>
    </font>
    <font>
      <b/>
      <vertAlign val="superscript"/>
      <sz val="10"/>
      <name val="Times New Roman"/>
      <family val="1"/>
    </font>
    <font>
      <b/>
      <sz val="10"/>
      <name val="Symbol"/>
      <family val="1"/>
      <charset val="2"/>
    </font>
    <font>
      <b/>
      <sz val="10"/>
      <name val="Arial"/>
      <family val="2"/>
    </font>
    <font>
      <vertAlign val="superscript"/>
      <sz val="10"/>
      <name val="Times New Roman"/>
      <family val="1"/>
    </font>
    <font>
      <sz val="10"/>
      <name val="Symbol"/>
      <family val="1"/>
      <charset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u/>
      <sz val="11"/>
      <name val="Times New Roman"/>
      <family val="1"/>
    </font>
    <font>
      <sz val="9"/>
      <name val="Times New Roman"/>
      <family val="1"/>
    </font>
    <font>
      <vertAlign val="subscript"/>
      <sz val="10"/>
      <name val="Times New Roman"/>
      <family val="1"/>
    </font>
    <font>
      <b/>
      <vertAlign val="subscript"/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5">
    <xf numFmtId="0" fontId="0" fillId="0" borderId="0"/>
    <xf numFmtId="0" fontId="26" fillId="7" borderId="25" applyNumberFormat="0" applyAlignment="0" applyProtection="0"/>
    <xf numFmtId="0" fontId="24" fillId="5" borderId="0" applyNumberFormat="0" applyBorder="0" applyAlignment="0" applyProtection="0"/>
    <xf numFmtId="0" fontId="25" fillId="6" borderId="25" applyNumberFormat="0" applyAlignment="0" applyProtection="0"/>
    <xf numFmtId="0" fontId="27" fillId="0" borderId="0"/>
  </cellStyleXfs>
  <cellXfs count="138">
    <xf numFmtId="0" fontId="0" fillId="0" borderId="0" xfId="0"/>
    <xf numFmtId="0" fontId="4" fillId="0" borderId="0" xfId="0" applyFont="1" applyFill="1" applyBorder="1" applyProtection="1"/>
    <xf numFmtId="0" fontId="6" fillId="0" borderId="0" xfId="0" applyFont="1" applyFill="1" applyBorder="1" applyProtection="1"/>
    <xf numFmtId="0" fontId="4" fillId="0" borderId="1" xfId="0" applyFont="1" applyFill="1" applyBorder="1" applyAlignment="1" applyProtection="1">
      <alignment horizontal="center"/>
    </xf>
    <xf numFmtId="166" fontId="7" fillId="0" borderId="0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Protection="1">
      <protection locked="0"/>
    </xf>
    <xf numFmtId="0" fontId="8" fillId="0" borderId="0" xfId="0" applyFont="1" applyFill="1" applyBorder="1" applyProtection="1"/>
    <xf numFmtId="0" fontId="9" fillId="0" borderId="0" xfId="0" applyFont="1" applyFill="1" applyBorder="1" applyProtection="1"/>
    <xf numFmtId="0" fontId="10" fillId="0" borderId="0" xfId="0" applyFont="1" applyFill="1" applyBorder="1" applyProtection="1"/>
    <xf numFmtId="14" fontId="4" fillId="0" borderId="0" xfId="0" applyNumberFormat="1" applyFont="1" applyFill="1" applyBorder="1" applyProtection="1">
      <protection locked="0"/>
    </xf>
    <xf numFmtId="0" fontId="8" fillId="0" borderId="0" xfId="0" applyFont="1" applyFill="1" applyBorder="1" applyAlignment="1" applyProtection="1">
      <alignment horizontal="center"/>
    </xf>
    <xf numFmtId="0" fontId="4" fillId="0" borderId="2" xfId="0" applyFont="1" applyFill="1" applyBorder="1" applyProtection="1"/>
    <xf numFmtId="0" fontId="7" fillId="0" borderId="3" xfId="0" applyFont="1" applyFill="1" applyBorder="1" applyProtection="1"/>
    <xf numFmtId="0" fontId="4" fillId="0" borderId="4" xfId="0" applyFont="1" applyFill="1" applyBorder="1" applyProtection="1"/>
    <xf numFmtId="0" fontId="7" fillId="0" borderId="0" xfId="0" applyFont="1" applyFill="1" applyBorder="1" applyAlignment="1" applyProtection="1">
      <alignment horizontal="center"/>
    </xf>
    <xf numFmtId="0" fontId="4" fillId="0" borderId="5" xfId="0" applyFont="1" applyFill="1" applyBorder="1" applyProtection="1"/>
    <xf numFmtId="0" fontId="7" fillId="0" borderId="6" xfId="0" applyFont="1" applyFill="1" applyBorder="1" applyProtection="1"/>
    <xf numFmtId="0" fontId="4" fillId="0" borderId="7" xfId="0" applyFont="1" applyFill="1" applyBorder="1" applyProtection="1"/>
    <xf numFmtId="0" fontId="7" fillId="0" borderId="0" xfId="0" applyFont="1" applyFill="1" applyBorder="1" applyAlignment="1" applyProtection="1">
      <alignment horizontal="left"/>
    </xf>
    <xf numFmtId="164" fontId="7" fillId="0" borderId="3" xfId="0" applyNumberFormat="1" applyFont="1" applyFill="1" applyBorder="1" applyProtection="1"/>
    <xf numFmtId="0" fontId="7" fillId="0" borderId="8" xfId="0" applyFont="1" applyFill="1" applyBorder="1" applyAlignment="1" applyProtection="1">
      <alignment horizontal="left"/>
    </xf>
    <xf numFmtId="0" fontId="4" fillId="0" borderId="9" xfId="0" applyFont="1" applyFill="1" applyBorder="1" applyProtection="1"/>
    <xf numFmtId="0" fontId="7" fillId="0" borderId="10" xfId="0" applyFont="1" applyFill="1" applyBorder="1" applyAlignment="1" applyProtection="1">
      <alignment horizontal="left"/>
    </xf>
    <xf numFmtId="168" fontId="7" fillId="0" borderId="2" xfId="0" applyNumberFormat="1" applyFont="1" applyFill="1" applyBorder="1" applyAlignment="1" applyProtection="1">
      <alignment horizontal="center"/>
      <protection locked="0"/>
    </xf>
    <xf numFmtId="167" fontId="7" fillId="0" borderId="4" xfId="0" applyNumberFormat="1" applyFont="1" applyFill="1" applyBorder="1" applyAlignment="1" applyProtection="1">
      <alignment horizontal="center"/>
    </xf>
    <xf numFmtId="167" fontId="7" fillId="0" borderId="11" xfId="0" applyNumberFormat="1" applyFont="1" applyFill="1" applyBorder="1" applyProtection="1"/>
    <xf numFmtId="2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 applyProtection="1"/>
    <xf numFmtId="0" fontId="7" fillId="0" borderId="12" xfId="0" applyFont="1" applyFill="1" applyBorder="1" applyProtection="1"/>
    <xf numFmtId="0" fontId="4" fillId="0" borderId="13" xfId="0" applyFont="1" applyFill="1" applyBorder="1" applyProtection="1"/>
    <xf numFmtId="2" fontId="4" fillId="0" borderId="13" xfId="0" applyNumberFormat="1" applyFont="1" applyFill="1" applyBorder="1" applyProtection="1"/>
    <xf numFmtId="0" fontId="4" fillId="0" borderId="14" xfId="0" applyFont="1" applyFill="1" applyBorder="1" applyProtection="1"/>
    <xf numFmtId="0" fontId="4" fillId="0" borderId="0" xfId="0" applyFont="1" applyFill="1" applyBorder="1" applyAlignment="1" applyProtection="1">
      <alignment horizontal="right"/>
    </xf>
    <xf numFmtId="166" fontId="4" fillId="2" borderId="0" xfId="0" applyNumberFormat="1" applyFont="1" applyFill="1" applyBorder="1" applyProtection="1"/>
    <xf numFmtId="165" fontId="4" fillId="2" borderId="0" xfId="0" applyNumberFormat="1" applyFont="1" applyFill="1" applyBorder="1" applyProtection="1"/>
    <xf numFmtId="0" fontId="4" fillId="2" borderId="0" xfId="0" applyFont="1" applyFill="1" applyBorder="1" applyProtection="1"/>
    <xf numFmtId="0" fontId="4" fillId="0" borderId="0" xfId="0" applyFont="1" applyFill="1" applyBorder="1" applyAlignment="1" applyProtection="1">
      <alignment horizontal="center"/>
    </xf>
    <xf numFmtId="165" fontId="4" fillId="0" borderId="0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</xf>
    <xf numFmtId="168" fontId="4" fillId="2" borderId="0" xfId="0" applyNumberFormat="1" applyFont="1" applyFill="1" applyBorder="1" applyAlignment="1" applyProtection="1">
      <alignment horizontal="center"/>
      <protection locked="0"/>
    </xf>
    <xf numFmtId="168" fontId="21" fillId="0" borderId="0" xfId="0" applyNumberFormat="1" applyFont="1" applyFill="1" applyBorder="1" applyAlignment="1" applyProtection="1">
      <protection locked="0"/>
    </xf>
    <xf numFmtId="167" fontId="4" fillId="0" borderId="0" xfId="0" applyNumberFormat="1" applyFont="1" applyFill="1" applyBorder="1" applyAlignment="1" applyProtection="1"/>
    <xf numFmtId="168" fontId="4" fillId="0" borderId="0" xfId="0" applyNumberFormat="1" applyFont="1" applyFill="1" applyBorder="1" applyAlignment="1" applyProtection="1"/>
    <xf numFmtId="0" fontId="4" fillId="0" borderId="0" xfId="0" applyFont="1" applyFill="1" applyBorder="1" applyAlignment="1" applyProtection="1"/>
    <xf numFmtId="165" fontId="4" fillId="3" borderId="0" xfId="0" applyNumberFormat="1" applyFont="1" applyFill="1" applyBorder="1" applyProtection="1"/>
    <xf numFmtId="167" fontId="4" fillId="0" borderId="0" xfId="0" applyNumberFormat="1" applyFont="1" applyFill="1" applyBorder="1" applyAlignment="1" applyProtection="1">
      <alignment horizontal="center"/>
    </xf>
    <xf numFmtId="0" fontId="7" fillId="2" borderId="15" xfId="0" applyFont="1" applyFill="1" applyBorder="1" applyAlignment="1" applyProtection="1">
      <alignment horizontal="left"/>
    </xf>
    <xf numFmtId="0" fontId="20" fillId="0" borderId="16" xfId="0" applyFont="1" applyFill="1" applyBorder="1" applyAlignment="1" applyProtection="1">
      <alignment horizontal="center"/>
    </xf>
    <xf numFmtId="0" fontId="20" fillId="0" borderId="17" xfId="0" applyFont="1" applyFill="1" applyBorder="1" applyAlignment="1" applyProtection="1">
      <alignment horizontal="center"/>
    </xf>
    <xf numFmtId="0" fontId="4" fillId="0" borderId="18" xfId="0" applyFont="1" applyFill="1" applyBorder="1" applyAlignment="1" applyProtection="1">
      <alignment horizontal="right"/>
    </xf>
    <xf numFmtId="0" fontId="7" fillId="0" borderId="18" xfId="0" applyFont="1" applyFill="1" applyBorder="1" applyProtection="1"/>
    <xf numFmtId="168" fontId="21" fillId="0" borderId="19" xfId="0" applyNumberFormat="1" applyFont="1" applyFill="1" applyBorder="1" applyAlignment="1" applyProtection="1">
      <protection locked="0"/>
    </xf>
    <xf numFmtId="0" fontId="4" fillId="0" borderId="20" xfId="0" applyFont="1" applyFill="1" applyBorder="1" applyProtection="1"/>
    <xf numFmtId="0" fontId="4" fillId="2" borderId="21" xfId="0" applyFont="1" applyFill="1" applyBorder="1" applyAlignment="1" applyProtection="1">
      <alignment horizontal="right"/>
    </xf>
    <xf numFmtId="0" fontId="4" fillId="0" borderId="21" xfId="0" applyFont="1" applyFill="1" applyBorder="1" applyAlignment="1" applyProtection="1">
      <alignment horizontal="left"/>
    </xf>
    <xf numFmtId="0" fontId="4" fillId="0" borderId="21" xfId="0" applyFont="1" applyFill="1" applyBorder="1" applyAlignment="1" applyProtection="1">
      <alignment horizontal="right"/>
    </xf>
    <xf numFmtId="0" fontId="4" fillId="0" borderId="21" xfId="0" applyFont="1" applyFill="1" applyBorder="1" applyAlignment="1" applyProtection="1"/>
    <xf numFmtId="0" fontId="4" fillId="0" borderId="22" xfId="0" applyFont="1" applyFill="1" applyBorder="1" applyAlignment="1" applyProtection="1">
      <alignment horizontal="left"/>
    </xf>
    <xf numFmtId="0" fontId="7" fillId="0" borderId="15" xfId="0" applyFont="1" applyFill="1" applyBorder="1" applyProtection="1"/>
    <xf numFmtId="0" fontId="4" fillId="0" borderId="16" xfId="0" applyFont="1" applyFill="1" applyBorder="1" applyAlignment="1" applyProtection="1">
      <alignment horizontal="right"/>
    </xf>
    <xf numFmtId="0" fontId="4" fillId="0" borderId="17" xfId="0" applyFont="1" applyFill="1" applyBorder="1" applyAlignment="1" applyProtection="1"/>
    <xf numFmtId="0" fontId="4" fillId="0" borderId="18" xfId="0" applyFont="1" applyFill="1" applyBorder="1" applyProtection="1"/>
    <xf numFmtId="0" fontId="4" fillId="0" borderId="19" xfId="0" applyFont="1" applyFill="1" applyBorder="1" applyAlignment="1" applyProtection="1"/>
    <xf numFmtId="2" fontId="4" fillId="4" borderId="21" xfId="0" applyNumberFormat="1" applyFont="1" applyFill="1" applyBorder="1" applyProtection="1"/>
    <xf numFmtId="0" fontId="4" fillId="0" borderId="22" xfId="0" applyFont="1" applyFill="1" applyBorder="1" applyProtection="1"/>
    <xf numFmtId="0" fontId="4" fillId="0" borderId="16" xfId="0" applyFont="1" applyFill="1" applyBorder="1" applyAlignment="1" applyProtection="1"/>
    <xf numFmtId="0" fontId="4" fillId="0" borderId="21" xfId="0" applyFont="1" applyFill="1" applyBorder="1" applyProtection="1"/>
    <xf numFmtId="0" fontId="0" fillId="0" borderId="0" xfId="0" applyBorder="1"/>
    <xf numFmtId="165" fontId="4" fillId="2" borderId="17" xfId="0" applyNumberFormat="1" applyFont="1" applyFill="1" applyBorder="1" applyProtection="1"/>
    <xf numFmtId="166" fontId="4" fillId="3" borderId="0" xfId="0" applyNumberFormat="1" applyFont="1" applyFill="1" applyBorder="1" applyProtection="1"/>
    <xf numFmtId="165" fontId="4" fillId="2" borderId="19" xfId="0" applyNumberFormat="1" applyFont="1" applyFill="1" applyBorder="1" applyProtection="1"/>
    <xf numFmtId="0" fontId="7" fillId="0" borderId="20" xfId="0" applyFont="1" applyFill="1" applyBorder="1" applyProtection="1"/>
    <xf numFmtId="166" fontId="4" fillId="3" borderId="22" xfId="0" applyNumberFormat="1" applyFont="1" applyFill="1" applyBorder="1" applyProtection="1"/>
    <xf numFmtId="0" fontId="1" fillId="0" borderId="0" xfId="0" applyFont="1" applyBorder="1" applyAlignment="1">
      <alignment horizontal="left"/>
    </xf>
    <xf numFmtId="2" fontId="24" fillId="5" borderId="21" xfId="2" applyNumberFormat="1" applyBorder="1" applyProtection="1"/>
    <xf numFmtId="0" fontId="25" fillId="6" borderId="26" xfId="3" applyBorder="1" applyAlignment="1" applyProtection="1">
      <alignment horizontal="left"/>
    </xf>
    <xf numFmtId="168" fontId="25" fillId="6" borderId="25" xfId="3" applyNumberFormat="1" applyBorder="1" applyAlignment="1" applyProtection="1">
      <alignment horizontal="center"/>
      <protection locked="0"/>
    </xf>
    <xf numFmtId="0" fontId="25" fillId="6" borderId="28" xfId="3" applyBorder="1" applyAlignment="1" applyProtection="1">
      <alignment horizontal="right"/>
    </xf>
    <xf numFmtId="0" fontId="26" fillId="7" borderId="28" xfId="1" applyBorder="1" applyAlignment="1" applyProtection="1">
      <alignment horizontal="right"/>
    </xf>
    <xf numFmtId="166" fontId="26" fillId="7" borderId="25" xfId="1" applyNumberFormat="1" applyBorder="1" applyProtection="1"/>
    <xf numFmtId="166" fontId="25" fillId="6" borderId="25" xfId="3" applyNumberFormat="1" applyBorder="1" applyProtection="1"/>
    <xf numFmtId="165" fontId="25" fillId="6" borderId="25" xfId="3" applyNumberFormat="1" applyBorder="1" applyProtection="1"/>
    <xf numFmtId="0" fontId="25" fillId="6" borderId="25" xfId="3" applyBorder="1" applyProtection="1"/>
    <xf numFmtId="165" fontId="26" fillId="7" borderId="25" xfId="1" applyNumberFormat="1" applyBorder="1" applyProtection="1"/>
    <xf numFmtId="165" fontId="25" fillId="6" borderId="30" xfId="3" applyNumberFormat="1" applyBorder="1" applyProtection="1"/>
    <xf numFmtId="165" fontId="25" fillId="6" borderId="27" xfId="3" applyNumberFormat="1" applyBorder="1" applyProtection="1"/>
    <xf numFmtId="166" fontId="26" fillId="7" borderId="31" xfId="1" applyNumberFormat="1" applyBorder="1" applyProtection="1"/>
    <xf numFmtId="0" fontId="4" fillId="0" borderId="0" xfId="4" applyFont="1" applyFill="1" applyBorder="1" applyProtection="1"/>
    <xf numFmtId="0" fontId="4" fillId="0" borderId="0" xfId="4" applyFont="1" applyFill="1" applyBorder="1" applyProtection="1">
      <protection locked="0"/>
    </xf>
    <xf numFmtId="0" fontId="4" fillId="0" borderId="0" xfId="4" applyFont="1" applyFill="1" applyBorder="1" applyAlignment="1" applyProtection="1">
      <alignment horizontal="left"/>
    </xf>
    <xf numFmtId="165" fontId="4" fillId="0" borderId="0" xfId="4" applyNumberFormat="1" applyFont="1" applyFill="1" applyBorder="1" applyAlignment="1" applyProtection="1">
      <alignment horizontal="center"/>
    </xf>
    <xf numFmtId="2" fontId="4" fillId="0" borderId="0" xfId="4" applyNumberFormat="1" applyFont="1" applyFill="1" applyBorder="1" applyProtection="1"/>
    <xf numFmtId="0" fontId="4" fillId="0" borderId="22" xfId="4" applyFont="1" applyFill="1" applyBorder="1" applyProtection="1"/>
    <xf numFmtId="0" fontId="4" fillId="0" borderId="21" xfId="4" applyFont="1" applyFill="1" applyBorder="1" applyProtection="1"/>
    <xf numFmtId="0" fontId="4" fillId="0" borderId="20" xfId="4" applyFont="1" applyFill="1" applyBorder="1" applyProtection="1"/>
    <xf numFmtId="0" fontId="4" fillId="0" borderId="19" xfId="4" applyFont="1" applyFill="1" applyBorder="1" applyAlignment="1" applyProtection="1"/>
    <xf numFmtId="0" fontId="4" fillId="0" borderId="0" xfId="4" applyFont="1" applyFill="1" applyBorder="1" applyAlignment="1" applyProtection="1">
      <alignment horizontal="center"/>
    </xf>
    <xf numFmtId="0" fontId="7" fillId="0" borderId="18" xfId="4" applyFont="1" applyFill="1" applyBorder="1" applyProtection="1"/>
    <xf numFmtId="0" fontId="4" fillId="0" borderId="0" xfId="4" applyFont="1" applyFill="1" applyBorder="1" applyAlignment="1" applyProtection="1">
      <alignment horizontal="right"/>
    </xf>
    <xf numFmtId="167" fontId="4" fillId="0" borderId="0" xfId="4" applyNumberFormat="1" applyFont="1" applyFill="1" applyBorder="1" applyAlignment="1" applyProtection="1">
      <alignment horizontal="center"/>
    </xf>
    <xf numFmtId="0" fontId="4" fillId="0" borderId="18" xfId="4" applyFont="1" applyFill="1" applyBorder="1" applyProtection="1"/>
    <xf numFmtId="0" fontId="4" fillId="0" borderId="17" xfId="4" applyFont="1" applyFill="1" applyBorder="1" applyAlignment="1" applyProtection="1"/>
    <xf numFmtId="0" fontId="4" fillId="0" borderId="16" xfId="4" applyFont="1" applyFill="1" applyBorder="1" applyAlignment="1" applyProtection="1"/>
    <xf numFmtId="0" fontId="7" fillId="0" borderId="15" xfId="4" applyFont="1" applyFill="1" applyBorder="1" applyProtection="1"/>
    <xf numFmtId="0" fontId="4" fillId="0" borderId="0" xfId="4" applyFont="1" applyFill="1" applyBorder="1" applyAlignment="1" applyProtection="1"/>
    <xf numFmtId="0" fontId="4" fillId="0" borderId="21" xfId="4" applyFont="1" applyFill="1" applyBorder="1" applyAlignment="1" applyProtection="1">
      <alignment horizontal="left"/>
    </xf>
    <xf numFmtId="0" fontId="4" fillId="0" borderId="21" xfId="4" applyFont="1" applyFill="1" applyBorder="1" applyAlignment="1" applyProtection="1">
      <alignment horizontal="right"/>
    </xf>
    <xf numFmtId="0" fontId="7" fillId="0" borderId="20" xfId="4" applyFont="1" applyFill="1" applyBorder="1" applyProtection="1"/>
    <xf numFmtId="167" fontId="4" fillId="0" borderId="0" xfId="4" applyNumberFormat="1" applyFont="1" applyFill="1" applyBorder="1" applyAlignment="1" applyProtection="1"/>
    <xf numFmtId="0" fontId="4" fillId="0" borderId="16" xfId="4" applyFont="1" applyFill="1" applyBorder="1" applyAlignment="1" applyProtection="1">
      <alignment horizontal="right"/>
    </xf>
    <xf numFmtId="0" fontId="1" fillId="0" borderId="0" xfId="4" applyFont="1" applyBorder="1" applyAlignment="1">
      <alignment horizontal="left"/>
    </xf>
    <xf numFmtId="0" fontId="4" fillId="0" borderId="22" xfId="4" applyFont="1" applyFill="1" applyBorder="1" applyAlignment="1" applyProtection="1">
      <alignment horizontal="left"/>
    </xf>
    <xf numFmtId="0" fontId="4" fillId="0" borderId="21" xfId="4" applyFont="1" applyFill="1" applyBorder="1" applyAlignment="1" applyProtection="1"/>
    <xf numFmtId="168" fontId="21" fillId="0" borderId="19" xfId="4" applyNumberFormat="1" applyFont="1" applyFill="1" applyBorder="1" applyAlignment="1" applyProtection="1">
      <protection locked="0"/>
    </xf>
    <xf numFmtId="168" fontId="4" fillId="0" borderId="0" xfId="4" applyNumberFormat="1" applyFont="1" applyFill="1" applyBorder="1" applyAlignment="1" applyProtection="1"/>
    <xf numFmtId="168" fontId="21" fillId="0" borderId="0" xfId="4" applyNumberFormat="1" applyFont="1" applyFill="1" applyBorder="1" applyAlignment="1" applyProtection="1">
      <protection locked="0"/>
    </xf>
    <xf numFmtId="0" fontId="4" fillId="0" borderId="18" xfId="4" applyFont="1" applyFill="1" applyBorder="1" applyAlignment="1" applyProtection="1">
      <alignment horizontal="right"/>
    </xf>
    <xf numFmtId="0" fontId="20" fillId="0" borderId="17" xfId="4" applyFont="1" applyFill="1" applyBorder="1" applyAlignment="1" applyProtection="1">
      <alignment horizontal="center"/>
    </xf>
    <xf numFmtId="0" fontId="20" fillId="0" borderId="16" xfId="4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Fill="1" applyBorder="1" applyAlignment="1" applyProtection="1">
      <alignment horizontal="left"/>
    </xf>
    <xf numFmtId="168" fontId="7" fillId="0" borderId="23" xfId="0" applyNumberFormat="1" applyFont="1" applyFill="1" applyBorder="1" applyAlignment="1" applyProtection="1">
      <alignment horizontal="center"/>
    </xf>
    <xf numFmtId="0" fontId="0" fillId="0" borderId="24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0" xfId="0" applyFont="1" applyFill="1" applyBorder="1" applyAlignment="1" applyProtection="1">
      <alignment horizontal="justify" vertical="top" wrapText="1"/>
    </xf>
    <xf numFmtId="168" fontId="5" fillId="0" borderId="3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Fill="1" applyBorder="1" applyAlignment="1" applyProtection="1">
      <alignment horizontal="center"/>
    </xf>
    <xf numFmtId="0" fontId="15" fillId="0" borderId="11" xfId="0" applyFont="1" applyBorder="1" applyAlignment="1">
      <alignment horizontal="center"/>
    </xf>
    <xf numFmtId="167" fontId="7" fillId="0" borderId="23" xfId="0" applyNumberFormat="1" applyFont="1" applyFill="1" applyBorder="1" applyAlignment="1" applyProtection="1">
      <alignment horizontal="center"/>
    </xf>
    <xf numFmtId="168" fontId="4" fillId="2" borderId="16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</xf>
    <xf numFmtId="0" fontId="4" fillId="2" borderId="19" xfId="0" applyFont="1" applyFill="1" applyBorder="1" applyAlignment="1" applyProtection="1">
      <alignment horizontal="center"/>
    </xf>
    <xf numFmtId="0" fontId="25" fillId="6" borderId="25" xfId="3" applyBorder="1" applyAlignment="1" applyProtection="1">
      <alignment horizontal="center"/>
    </xf>
    <xf numFmtId="0" fontId="25" fillId="6" borderId="27" xfId="3" applyBorder="1" applyAlignment="1" applyProtection="1">
      <alignment horizontal="center"/>
    </xf>
    <xf numFmtId="168" fontId="25" fillId="6" borderId="29" xfId="3" applyNumberFormat="1" applyBorder="1" applyAlignment="1" applyProtection="1">
      <alignment horizontal="center"/>
      <protection locked="0"/>
    </xf>
    <xf numFmtId="168" fontId="26" fillId="7" borderId="29" xfId="1" applyNumberFormat="1" applyBorder="1" applyAlignment="1" applyProtection="1">
      <alignment horizontal="center"/>
    </xf>
    <xf numFmtId="0" fontId="8" fillId="0" borderId="0" xfId="4" applyFont="1" applyFill="1" applyBorder="1" applyAlignment="1" applyProtection="1">
      <alignment horizontal="center"/>
    </xf>
  </cellXfs>
  <cellStyles count="5">
    <cellStyle name="Calculation" xfId="1" builtinId="22"/>
    <cellStyle name="Good" xfId="2" builtinId="26"/>
    <cellStyle name="Input" xfId="3" builtinId="20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showGridLines="0" workbookViewId="0">
      <selection activeCell="F26" sqref="F26"/>
    </sheetView>
  </sheetViews>
  <sheetFormatPr defaultRowHeight="12.75" x14ac:dyDescent="0.2"/>
  <cols>
    <col min="1" max="1" width="25.5703125" style="1" customWidth="1"/>
    <col min="2" max="2" width="13.28515625" style="1" customWidth="1"/>
    <col min="3" max="3" width="13.42578125" style="1" customWidth="1"/>
    <col min="4" max="4" width="13.140625" style="1" customWidth="1"/>
    <col min="5" max="5" width="10.7109375" style="1" customWidth="1"/>
    <col min="6" max="6" width="19.5703125" style="1" customWidth="1"/>
    <col min="7" max="16384" width="9.140625" style="1"/>
  </cols>
  <sheetData>
    <row r="1" spans="1:9" ht="14.25" x14ac:dyDescent="0.2">
      <c r="A1" s="119" t="s">
        <v>2</v>
      </c>
      <c r="B1" s="120"/>
      <c r="C1" s="120"/>
      <c r="D1" s="120"/>
      <c r="E1" s="120"/>
      <c r="F1" s="120"/>
    </row>
    <row r="2" spans="1:9" ht="18.75" customHeight="1" x14ac:dyDescent="0.2">
      <c r="A2" s="119" t="s">
        <v>3</v>
      </c>
      <c r="B2" s="119"/>
      <c r="C2" s="119"/>
      <c r="D2" s="119"/>
      <c r="E2" s="119"/>
      <c r="F2" s="119"/>
    </row>
    <row r="3" spans="1:9" ht="18.75" customHeight="1" x14ac:dyDescent="0.2">
      <c r="A3" s="18" t="s">
        <v>13</v>
      </c>
      <c r="B3" s="10"/>
      <c r="C3" s="10"/>
      <c r="D3" s="10"/>
      <c r="E3" s="10"/>
      <c r="F3" s="10"/>
    </row>
    <row r="4" spans="1:9" ht="15" customHeight="1" thickBot="1" x14ac:dyDescent="0.25">
      <c r="A4" s="12" t="s">
        <v>8</v>
      </c>
      <c r="B4" s="126">
        <v>39799.5</v>
      </c>
      <c r="C4" s="126"/>
      <c r="D4" s="12" t="s">
        <v>14</v>
      </c>
      <c r="E4" s="19"/>
      <c r="F4" s="12"/>
    </row>
    <row r="5" spans="1:9" ht="13.5" customHeight="1" thickTop="1" x14ac:dyDescent="0.2">
      <c r="A5" s="16" t="s">
        <v>12</v>
      </c>
      <c r="B5" s="4" t="s">
        <v>0</v>
      </c>
      <c r="C5" s="14" t="s">
        <v>0</v>
      </c>
      <c r="F5" s="15"/>
    </row>
    <row r="6" spans="1:9" x14ac:dyDescent="0.2">
      <c r="A6" s="17" t="s">
        <v>4</v>
      </c>
      <c r="B6" s="3">
        <v>358.46</v>
      </c>
      <c r="C6" s="20" t="s">
        <v>7</v>
      </c>
      <c r="D6" s="129" t="s">
        <v>11</v>
      </c>
      <c r="E6" s="123"/>
      <c r="F6" s="124"/>
      <c r="I6" s="27"/>
    </row>
    <row r="7" spans="1:9" x14ac:dyDescent="0.2">
      <c r="A7" s="11" t="s">
        <v>8</v>
      </c>
      <c r="B7" s="23">
        <v>39790.552777777775</v>
      </c>
      <c r="C7" s="21"/>
      <c r="D7" s="122">
        <f>B4</f>
        <v>39799.5</v>
      </c>
      <c r="E7" s="123"/>
      <c r="F7" s="124"/>
    </row>
    <row r="8" spans="1:9" ht="15.75" customHeight="1" thickBot="1" x14ac:dyDescent="0.25">
      <c r="A8" s="13" t="s">
        <v>5</v>
      </c>
      <c r="B8" s="24">
        <f>EXP(-0.693*(B4-B7+(6/24))/73.831)</f>
        <v>0.91729340369269707</v>
      </c>
      <c r="C8" s="22" t="s">
        <v>0</v>
      </c>
      <c r="D8" s="25">
        <f>B6*B8*110</f>
        <v>36169.429283645259</v>
      </c>
      <c r="E8" s="127" t="s">
        <v>10</v>
      </c>
      <c r="F8" s="128"/>
    </row>
    <row r="9" spans="1:9" ht="16.5" thickTop="1" x14ac:dyDescent="0.2">
      <c r="A9" s="16" t="s">
        <v>1</v>
      </c>
      <c r="D9" s="26">
        <v>35883.11</v>
      </c>
      <c r="E9" s="1" t="s">
        <v>9</v>
      </c>
      <c r="F9" s="15"/>
    </row>
    <row r="10" spans="1:9" ht="15.75" x14ac:dyDescent="0.2">
      <c r="A10" s="28" t="s">
        <v>6</v>
      </c>
      <c r="B10" s="29"/>
      <c r="C10" s="29"/>
      <c r="D10" s="30">
        <f>D8</f>
        <v>36169.429283645259</v>
      </c>
      <c r="E10" s="29" t="s">
        <v>9</v>
      </c>
      <c r="F10" s="31"/>
    </row>
    <row r="11" spans="1:9" x14ac:dyDescent="0.2">
      <c r="A11" s="5"/>
      <c r="B11" s="5"/>
      <c r="C11" s="5"/>
      <c r="D11" s="5"/>
    </row>
    <row r="12" spans="1:9" x14ac:dyDescent="0.2">
      <c r="A12" s="5"/>
      <c r="B12" s="5"/>
      <c r="C12" s="5"/>
      <c r="D12" s="5"/>
    </row>
    <row r="13" spans="1:9" ht="14.25" x14ac:dyDescent="0.2">
      <c r="A13" s="6"/>
    </row>
    <row r="14" spans="1:9" ht="15" x14ac:dyDescent="0.25">
      <c r="A14" s="121"/>
      <c r="B14" s="121"/>
      <c r="C14" s="121"/>
      <c r="D14" s="121"/>
      <c r="E14" s="121"/>
    </row>
    <row r="15" spans="1:9" ht="15" x14ac:dyDescent="0.25">
      <c r="A15" s="121"/>
      <c r="B15" s="121"/>
      <c r="C15" s="121"/>
      <c r="D15" s="121"/>
      <c r="E15" s="121"/>
    </row>
    <row r="16" spans="1:9" ht="15" x14ac:dyDescent="0.25">
      <c r="A16" s="121"/>
      <c r="B16" s="121"/>
      <c r="C16" s="121"/>
      <c r="D16" s="121"/>
      <c r="E16" s="121"/>
    </row>
    <row r="17" spans="1:5" ht="15" x14ac:dyDescent="0.2">
      <c r="A17" s="125"/>
      <c r="B17" s="125"/>
      <c r="C17" s="125"/>
      <c r="D17" s="125"/>
      <c r="E17" s="125"/>
    </row>
    <row r="19" spans="1:5" ht="15" x14ac:dyDescent="0.25">
      <c r="A19" s="7"/>
    </row>
    <row r="20" spans="1:5" x14ac:dyDescent="0.2">
      <c r="A20" s="8"/>
    </row>
    <row r="21" spans="1:5" x14ac:dyDescent="0.2">
      <c r="A21" s="2"/>
    </row>
    <row r="22" spans="1:5" x14ac:dyDescent="0.2">
      <c r="A22" s="2"/>
    </row>
    <row r="23" spans="1:5" x14ac:dyDescent="0.2">
      <c r="A23" s="2"/>
    </row>
    <row r="24" spans="1:5" x14ac:dyDescent="0.2">
      <c r="A24" s="2"/>
    </row>
    <row r="25" spans="1:5" x14ac:dyDescent="0.2">
      <c r="A25" s="2"/>
    </row>
    <row r="31" spans="1:5" x14ac:dyDescent="0.2">
      <c r="B31" s="9"/>
    </row>
  </sheetData>
  <mergeCells count="10">
    <mergeCell ref="A1:F1"/>
    <mergeCell ref="A16:E16"/>
    <mergeCell ref="D7:F7"/>
    <mergeCell ref="A17:E17"/>
    <mergeCell ref="B4:C4"/>
    <mergeCell ref="A2:F2"/>
    <mergeCell ref="A14:E14"/>
    <mergeCell ref="A15:E15"/>
    <mergeCell ref="E8:F8"/>
    <mergeCell ref="D6:F6"/>
  </mergeCells>
  <phoneticPr fontId="1" type="noConversion"/>
  <pageMargins left="0.99" right="0.4" top="0.96" bottom="0.71" header="0.25" footer="0.5"/>
  <pageSetup scale="96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showGridLines="0" workbookViewId="0">
      <selection activeCell="C9" sqref="C9"/>
    </sheetView>
  </sheetViews>
  <sheetFormatPr defaultRowHeight="12.75" x14ac:dyDescent="0.2"/>
  <cols>
    <col min="1" max="1" width="25.5703125" style="1" customWidth="1"/>
    <col min="2" max="2" width="13.28515625" style="1" customWidth="1"/>
    <col min="3" max="3" width="13.42578125" style="1" customWidth="1"/>
    <col min="4" max="4" width="13.140625" style="1" customWidth="1"/>
    <col min="5" max="5" width="10.7109375" style="1" customWidth="1"/>
    <col min="6" max="6" width="19.5703125" style="1" customWidth="1"/>
    <col min="7" max="16384" width="9.140625" style="1"/>
  </cols>
  <sheetData>
    <row r="1" spans="1:9" ht="14.25" x14ac:dyDescent="0.2">
      <c r="A1" s="119" t="s">
        <v>2</v>
      </c>
      <c r="B1" s="120"/>
      <c r="C1" s="120"/>
      <c r="D1" s="120"/>
      <c r="E1" s="120"/>
      <c r="F1" s="120"/>
    </row>
    <row r="2" spans="1:9" ht="18.75" customHeight="1" x14ac:dyDescent="0.2">
      <c r="A2" s="119" t="s">
        <v>3</v>
      </c>
      <c r="B2" s="119"/>
      <c r="C2" s="119"/>
      <c r="D2" s="119"/>
      <c r="E2" s="119"/>
      <c r="F2" s="119"/>
    </row>
    <row r="3" spans="1:9" ht="18.75" customHeight="1" x14ac:dyDescent="0.2">
      <c r="A3" s="18" t="s">
        <v>15</v>
      </c>
      <c r="B3" s="10"/>
      <c r="C3" s="10"/>
      <c r="D3" s="10"/>
      <c r="E3" s="10"/>
      <c r="F3" s="10"/>
    </row>
    <row r="4" spans="1:9" ht="15" customHeight="1" thickBot="1" x14ac:dyDescent="0.25">
      <c r="A4" s="12" t="s">
        <v>8</v>
      </c>
      <c r="B4" s="126">
        <v>40213.5</v>
      </c>
      <c r="C4" s="126"/>
      <c r="D4" s="12" t="s">
        <v>16</v>
      </c>
      <c r="E4" s="19"/>
      <c r="F4" s="12"/>
    </row>
    <row r="5" spans="1:9" ht="13.5" customHeight="1" thickTop="1" x14ac:dyDescent="0.2">
      <c r="A5" s="16" t="s">
        <v>12</v>
      </c>
      <c r="B5" s="4" t="s">
        <v>0</v>
      </c>
      <c r="C5" s="14" t="s">
        <v>0</v>
      </c>
      <c r="F5" s="15"/>
    </row>
    <row r="6" spans="1:9" x14ac:dyDescent="0.2">
      <c r="A6" s="17" t="s">
        <v>4</v>
      </c>
      <c r="B6" s="3">
        <v>428.34</v>
      </c>
      <c r="C6" s="20" t="s">
        <v>7</v>
      </c>
      <c r="D6" s="129" t="s">
        <v>11</v>
      </c>
      <c r="E6" s="123"/>
      <c r="F6" s="124"/>
      <c r="I6" s="27"/>
    </row>
    <row r="7" spans="1:9" x14ac:dyDescent="0.2">
      <c r="A7" s="11" t="s">
        <v>8</v>
      </c>
      <c r="B7" s="23">
        <v>40199.660416666666</v>
      </c>
      <c r="C7" s="21"/>
      <c r="D7" s="122">
        <f>B4</f>
        <v>40213.5</v>
      </c>
      <c r="E7" s="123"/>
      <c r="F7" s="124"/>
    </row>
    <row r="8" spans="1:9" ht="15.75" customHeight="1" thickBot="1" x14ac:dyDescent="0.25">
      <c r="A8" s="13" t="s">
        <v>5</v>
      </c>
      <c r="B8" s="24">
        <f>EXP(-0.693*(B4-B7+(6/24))/73.831)</f>
        <v>0.87612275007551199</v>
      </c>
      <c r="C8" s="22">
        <f>B6*110</f>
        <v>47117.399999999994</v>
      </c>
      <c r="D8" s="25">
        <f>B6*B8*110</f>
        <v>41280.626064407923</v>
      </c>
      <c r="E8" s="127" t="s">
        <v>10</v>
      </c>
      <c r="F8" s="128"/>
    </row>
    <row r="9" spans="1:9" ht="16.5" thickTop="1" x14ac:dyDescent="0.2">
      <c r="A9" s="16" t="s">
        <v>1</v>
      </c>
      <c r="D9" s="26">
        <v>35883.11</v>
      </c>
      <c r="E9" s="1" t="s">
        <v>9</v>
      </c>
      <c r="F9" s="15"/>
    </row>
    <row r="10" spans="1:9" ht="15.75" x14ac:dyDescent="0.2">
      <c r="A10" s="28" t="s">
        <v>6</v>
      </c>
      <c r="B10" s="29"/>
      <c r="C10" s="29"/>
      <c r="D10" s="30">
        <f>D8</f>
        <v>41280.626064407923</v>
      </c>
      <c r="E10" s="29" t="s">
        <v>9</v>
      </c>
      <c r="F10" s="31"/>
    </row>
    <row r="11" spans="1:9" x14ac:dyDescent="0.2">
      <c r="A11" s="5"/>
      <c r="B11" s="5"/>
      <c r="C11" s="5"/>
      <c r="D11" s="5"/>
    </row>
    <row r="12" spans="1:9" x14ac:dyDescent="0.2">
      <c r="A12" s="5"/>
      <c r="B12" s="5"/>
      <c r="C12" s="5"/>
      <c r="D12" s="5"/>
    </row>
    <row r="13" spans="1:9" ht="14.25" x14ac:dyDescent="0.2">
      <c r="A13" s="6"/>
    </row>
    <row r="14" spans="1:9" ht="15" x14ac:dyDescent="0.25">
      <c r="A14" s="121"/>
      <c r="B14" s="121"/>
      <c r="C14" s="121"/>
      <c r="D14" s="121"/>
      <c r="E14" s="121"/>
    </row>
    <row r="15" spans="1:9" ht="15" x14ac:dyDescent="0.25">
      <c r="A15" s="121"/>
      <c r="B15" s="121"/>
      <c r="C15" s="121"/>
      <c r="D15" s="121"/>
      <c r="E15" s="121"/>
    </row>
    <row r="16" spans="1:9" ht="15" x14ac:dyDescent="0.25">
      <c r="A16" s="121"/>
      <c r="B16" s="121"/>
      <c r="C16" s="121"/>
      <c r="D16" s="121"/>
      <c r="E16" s="121"/>
    </row>
    <row r="17" spans="1:5" ht="15" x14ac:dyDescent="0.2">
      <c r="A17" s="125"/>
      <c r="B17" s="125"/>
      <c r="C17" s="125"/>
      <c r="D17" s="125"/>
      <c r="E17" s="125"/>
    </row>
    <row r="19" spans="1:5" ht="15" x14ac:dyDescent="0.25">
      <c r="A19" s="7"/>
    </row>
    <row r="20" spans="1:5" x14ac:dyDescent="0.2">
      <c r="A20" s="8"/>
    </row>
    <row r="21" spans="1:5" x14ac:dyDescent="0.2">
      <c r="A21" s="2"/>
    </row>
    <row r="22" spans="1:5" x14ac:dyDescent="0.2">
      <c r="A22" s="2"/>
    </row>
    <row r="23" spans="1:5" x14ac:dyDescent="0.2">
      <c r="A23" s="2"/>
    </row>
    <row r="24" spans="1:5" x14ac:dyDescent="0.2">
      <c r="A24" s="2"/>
    </row>
    <row r="25" spans="1:5" x14ac:dyDescent="0.2">
      <c r="A25" s="2"/>
    </row>
    <row r="31" spans="1:5" x14ac:dyDescent="0.2">
      <c r="B31" s="9"/>
    </row>
  </sheetData>
  <mergeCells count="10">
    <mergeCell ref="A1:F1"/>
    <mergeCell ref="A16:E16"/>
    <mergeCell ref="D7:F7"/>
    <mergeCell ref="A17:E17"/>
    <mergeCell ref="B4:C4"/>
    <mergeCell ref="A2:F2"/>
    <mergeCell ref="A14:E14"/>
    <mergeCell ref="A15:E15"/>
    <mergeCell ref="E8:F8"/>
    <mergeCell ref="D6:F6"/>
  </mergeCells>
  <phoneticPr fontId="1" type="noConversion"/>
  <pageMargins left="0.99" right="0.4" top="0.96" bottom="0.71" header="0.25" footer="0.5"/>
  <pageSetup scale="96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I8" sqref="I8"/>
    </sheetView>
  </sheetViews>
  <sheetFormatPr defaultRowHeight="12.75" x14ac:dyDescent="0.2"/>
  <cols>
    <col min="1" max="1" width="29.28515625" style="1" customWidth="1"/>
    <col min="2" max="2" width="14.85546875" style="1" customWidth="1"/>
    <col min="3" max="3" width="8.7109375" style="1" customWidth="1"/>
    <col min="4" max="4" width="12.85546875" style="1" customWidth="1"/>
    <col min="5" max="5" width="13.28515625" style="1" customWidth="1"/>
    <col min="6" max="6" width="8.7109375" style="1" customWidth="1"/>
    <col min="7" max="16384" width="9.140625" style="1"/>
  </cols>
  <sheetData>
    <row r="1" spans="1:8" ht="15" customHeight="1" x14ac:dyDescent="0.2">
      <c r="A1" s="119" t="s">
        <v>2</v>
      </c>
      <c r="B1" s="119"/>
      <c r="C1" s="119"/>
      <c r="D1" s="119"/>
      <c r="E1" s="119"/>
      <c r="F1" s="119"/>
    </row>
    <row r="2" spans="1:8" ht="18.75" customHeight="1" thickBot="1" x14ac:dyDescent="0.25">
      <c r="A2" s="119" t="s">
        <v>3</v>
      </c>
      <c r="B2" s="119"/>
      <c r="C2" s="119"/>
      <c r="D2" s="119"/>
      <c r="E2" s="119"/>
      <c r="F2" s="119"/>
    </row>
    <row r="3" spans="1:8" ht="18.75" customHeight="1" x14ac:dyDescent="0.25">
      <c r="A3" s="46" t="s">
        <v>17</v>
      </c>
      <c r="B3" s="47"/>
      <c r="C3" s="47"/>
      <c r="D3" s="47"/>
      <c r="E3" s="47"/>
      <c r="F3" s="48"/>
    </row>
    <row r="4" spans="1:8" ht="15" customHeight="1" x14ac:dyDescent="0.2">
      <c r="A4" s="49" t="s">
        <v>8</v>
      </c>
      <c r="B4" s="39">
        <v>40418.597916666666</v>
      </c>
      <c r="C4" s="40" t="s">
        <v>19</v>
      </c>
      <c r="D4" s="131" t="s">
        <v>18</v>
      </c>
      <c r="E4" s="131"/>
      <c r="F4" s="132"/>
    </row>
    <row r="5" spans="1:8" ht="13.5" customHeight="1" x14ac:dyDescent="0.2">
      <c r="A5" s="50" t="s">
        <v>23</v>
      </c>
      <c r="B5" s="41" t="s">
        <v>21</v>
      </c>
      <c r="C5" s="41"/>
      <c r="D5" s="36"/>
      <c r="E5" s="42">
        <f>B4-(6/24)</f>
        <v>40418.347916666666</v>
      </c>
      <c r="F5" s="51" t="s">
        <v>20</v>
      </c>
    </row>
    <row r="6" spans="1:8" ht="16.5" thickBot="1" x14ac:dyDescent="0.25">
      <c r="A6" s="52" t="s">
        <v>4</v>
      </c>
      <c r="B6" s="53">
        <v>442.81</v>
      </c>
      <c r="C6" s="54" t="s">
        <v>7</v>
      </c>
      <c r="D6" s="55">
        <f>B6*110</f>
        <v>48709.1</v>
      </c>
      <c r="E6" s="56" t="s">
        <v>9</v>
      </c>
      <c r="F6" s="57"/>
      <c r="H6" s="27"/>
    </row>
    <row r="7" spans="1:8" ht="13.5" thickBot="1" x14ac:dyDescent="0.25">
      <c r="B7" s="32"/>
      <c r="C7" s="38"/>
      <c r="D7" s="32"/>
      <c r="E7" s="43"/>
      <c r="F7" s="38"/>
      <c r="H7" s="27"/>
    </row>
    <row r="8" spans="1:8" x14ac:dyDescent="0.2">
      <c r="A8" s="58" t="s">
        <v>22</v>
      </c>
      <c r="B8" s="59" t="s">
        <v>8</v>
      </c>
      <c r="C8" s="130">
        <v>40430.629166666666</v>
      </c>
      <c r="D8" s="130"/>
      <c r="E8" s="60"/>
      <c r="F8" s="38"/>
      <c r="H8" s="27"/>
    </row>
    <row r="9" spans="1:8" ht="14.25" x14ac:dyDescent="0.25">
      <c r="A9" s="61"/>
      <c r="B9" s="32" t="s">
        <v>32</v>
      </c>
      <c r="C9" s="33">
        <v>1.0044999999999999</v>
      </c>
      <c r="D9" s="41"/>
      <c r="E9" s="62"/>
      <c r="F9" s="38"/>
      <c r="H9" s="27"/>
    </row>
    <row r="10" spans="1:8" ht="14.25" x14ac:dyDescent="0.25">
      <c r="A10" s="61"/>
      <c r="B10" s="32" t="s">
        <v>33</v>
      </c>
      <c r="C10" s="33">
        <v>1.0007999999999999</v>
      </c>
      <c r="D10" s="41"/>
      <c r="E10" s="62"/>
      <c r="F10" s="38"/>
      <c r="H10" s="27"/>
    </row>
    <row r="11" spans="1:8" ht="15.75" x14ac:dyDescent="0.2">
      <c r="A11" s="61"/>
      <c r="B11" s="32" t="s">
        <v>25</v>
      </c>
      <c r="C11" s="34">
        <f>468.1*0.999</f>
        <v>467.63190000000003</v>
      </c>
      <c r="D11" s="43" t="s">
        <v>34</v>
      </c>
      <c r="E11" s="62"/>
      <c r="F11" s="38"/>
      <c r="H11" s="27"/>
    </row>
    <row r="12" spans="1:8" x14ac:dyDescent="0.2">
      <c r="A12" s="61"/>
      <c r="B12" s="32" t="s">
        <v>24</v>
      </c>
      <c r="C12" s="35">
        <v>-92.191999999999993</v>
      </c>
      <c r="D12" s="1" t="s">
        <v>27</v>
      </c>
      <c r="E12" s="62"/>
      <c r="F12" s="38"/>
      <c r="H12" s="27"/>
    </row>
    <row r="13" spans="1:8" ht="15.75" x14ac:dyDescent="0.2">
      <c r="A13" s="50" t="s">
        <v>26</v>
      </c>
      <c r="B13" s="32"/>
      <c r="C13" s="38"/>
      <c r="D13" s="44">
        <f>-C12*C11*C10*C9</f>
        <v>43340.568504373885</v>
      </c>
      <c r="E13" s="62" t="s">
        <v>9</v>
      </c>
      <c r="F13" s="38"/>
      <c r="H13" s="27"/>
    </row>
    <row r="14" spans="1:8" x14ac:dyDescent="0.2">
      <c r="A14" s="61"/>
      <c r="B14" s="1" t="s">
        <v>5</v>
      </c>
      <c r="C14" s="45">
        <f>EXP(-0.693*(C8-E5)/73.831)</f>
        <v>0.89112059658808496</v>
      </c>
      <c r="D14" s="32"/>
      <c r="E14" s="62"/>
      <c r="F14" s="38"/>
      <c r="H14" s="27"/>
    </row>
    <row r="15" spans="1:8" ht="15.75" x14ac:dyDescent="0.2">
      <c r="A15" s="50" t="s">
        <v>29</v>
      </c>
      <c r="B15" s="32"/>
      <c r="C15" s="38"/>
      <c r="D15" s="44">
        <f>B6*C14*110</f>
        <v>43405.682251268692</v>
      </c>
      <c r="E15" s="62" t="s">
        <v>9</v>
      </c>
      <c r="F15" s="38"/>
      <c r="H15" s="27"/>
    </row>
    <row r="16" spans="1:8" ht="13.5" thickBot="1" x14ac:dyDescent="0.25">
      <c r="A16" s="52"/>
      <c r="B16" s="55"/>
      <c r="C16" s="54"/>
      <c r="D16" s="63">
        <f>(D13-D15)/D13*100</f>
        <v>-0.15023740837233376</v>
      </c>
      <c r="E16" s="64" t="s">
        <v>28</v>
      </c>
      <c r="F16" s="38"/>
      <c r="H16" s="27"/>
    </row>
    <row r="17" spans="1:8" ht="13.5" thickBot="1" x14ac:dyDescent="0.25">
      <c r="B17" s="32"/>
      <c r="C17" s="38"/>
      <c r="D17" s="32"/>
      <c r="E17" s="43"/>
      <c r="F17" s="38"/>
      <c r="H17" s="27"/>
    </row>
    <row r="18" spans="1:8" x14ac:dyDescent="0.2">
      <c r="A18" s="58" t="s">
        <v>30</v>
      </c>
      <c r="B18" s="65" t="s">
        <v>8</v>
      </c>
      <c r="C18" s="130">
        <v>40430.658333333333</v>
      </c>
      <c r="D18" s="130"/>
      <c r="E18" s="60"/>
      <c r="F18" s="38"/>
      <c r="H18" s="27"/>
    </row>
    <row r="19" spans="1:8" ht="15.75" x14ac:dyDescent="0.2">
      <c r="A19" s="50" t="s">
        <v>31</v>
      </c>
      <c r="B19" s="32"/>
      <c r="C19" s="38"/>
      <c r="D19" s="34">
        <v>43400.31</v>
      </c>
      <c r="E19" s="62" t="s">
        <v>9</v>
      </c>
      <c r="F19" s="38"/>
      <c r="H19" s="27"/>
    </row>
    <row r="20" spans="1:8" x14ac:dyDescent="0.2">
      <c r="A20" s="61"/>
      <c r="B20" s="1" t="s">
        <v>5</v>
      </c>
      <c r="C20" s="45">
        <f>EXP(-0.693*(C18-E5)/73.831)</f>
        <v>0.89087667046263697</v>
      </c>
      <c r="D20" s="32"/>
      <c r="E20" s="62"/>
      <c r="F20" s="38"/>
      <c r="H20" s="27"/>
    </row>
    <row r="21" spans="1:8" ht="15.75" x14ac:dyDescent="0.2">
      <c r="A21" s="50" t="s">
        <v>29</v>
      </c>
      <c r="B21" s="36"/>
      <c r="C21" s="38"/>
      <c r="D21" s="44">
        <f>B6*C20*110</f>
        <v>43393.80082923163</v>
      </c>
      <c r="E21" s="62" t="s">
        <v>9</v>
      </c>
      <c r="F21" s="38"/>
      <c r="H21" s="27"/>
    </row>
    <row r="22" spans="1:8" ht="13.5" thickBot="1" x14ac:dyDescent="0.25">
      <c r="A22" s="52"/>
      <c r="B22" s="66"/>
      <c r="C22" s="66"/>
      <c r="D22" s="63">
        <f>(D19-D21)/D19*100</f>
        <v>1.4997982199592048E-2</v>
      </c>
      <c r="E22" s="64" t="s">
        <v>28</v>
      </c>
      <c r="F22" s="38"/>
      <c r="H22" s="27"/>
    </row>
    <row r="23" spans="1:8" x14ac:dyDescent="0.2">
      <c r="F23" s="38"/>
      <c r="H23" s="27"/>
    </row>
    <row r="24" spans="1:8" x14ac:dyDescent="0.2">
      <c r="F24" s="38"/>
      <c r="H24" s="27"/>
    </row>
    <row r="26" spans="1:8" ht="15.75" customHeight="1" x14ac:dyDescent="0.2">
      <c r="C26" s="38"/>
      <c r="D26" s="38"/>
      <c r="E26" s="38"/>
      <c r="F26" s="38"/>
    </row>
    <row r="27" spans="1:8" x14ac:dyDescent="0.2">
      <c r="B27" s="37"/>
      <c r="C27" s="38"/>
    </row>
    <row r="29" spans="1:8" x14ac:dyDescent="0.2">
      <c r="F29" s="5"/>
    </row>
    <row r="30" spans="1:8" x14ac:dyDescent="0.2">
      <c r="F30" s="5"/>
    </row>
  </sheetData>
  <mergeCells count="5">
    <mergeCell ref="C8:D8"/>
    <mergeCell ref="C18:D18"/>
    <mergeCell ref="A1:F1"/>
    <mergeCell ref="A2:F2"/>
    <mergeCell ref="D4:F4"/>
  </mergeCells>
  <phoneticPr fontId="1" type="noConversion"/>
  <pageMargins left="0.99" right="0.4" top="0.96" bottom="0.71" header="0.2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D22" sqref="D22"/>
    </sheetView>
  </sheetViews>
  <sheetFormatPr defaultRowHeight="12.75" x14ac:dyDescent="0.2"/>
  <cols>
    <col min="1" max="1" width="29.28515625" style="1" customWidth="1"/>
    <col min="2" max="2" width="14.85546875" style="1" customWidth="1"/>
    <col min="3" max="3" width="8.7109375" style="1" customWidth="1"/>
    <col min="4" max="4" width="12.85546875" style="1" customWidth="1"/>
    <col min="5" max="5" width="13.28515625" style="1" customWidth="1"/>
    <col min="6" max="6" width="8.7109375" style="1" customWidth="1"/>
    <col min="7" max="16384" width="9.140625" style="1"/>
  </cols>
  <sheetData>
    <row r="1" spans="1:8" ht="15" customHeight="1" x14ac:dyDescent="0.2">
      <c r="A1" s="119" t="s">
        <v>2</v>
      </c>
      <c r="B1" s="119"/>
      <c r="C1" s="119"/>
      <c r="D1" s="119"/>
      <c r="E1" s="119"/>
      <c r="F1" s="119"/>
    </row>
    <row r="2" spans="1:8" ht="18.75" customHeight="1" thickBot="1" x14ac:dyDescent="0.25">
      <c r="A2" s="119" t="s">
        <v>3</v>
      </c>
      <c r="B2" s="119"/>
      <c r="C2" s="119"/>
      <c r="D2" s="119"/>
      <c r="E2" s="119"/>
      <c r="F2" s="119"/>
    </row>
    <row r="3" spans="1:8" ht="18.75" customHeight="1" x14ac:dyDescent="0.25">
      <c r="A3" s="46" t="s">
        <v>35</v>
      </c>
      <c r="B3" s="47"/>
      <c r="C3" s="47"/>
      <c r="D3" s="47"/>
      <c r="E3" s="47"/>
      <c r="F3" s="48"/>
    </row>
    <row r="4" spans="1:8" ht="15" customHeight="1" x14ac:dyDescent="0.2">
      <c r="A4" s="49" t="s">
        <v>8</v>
      </c>
      <c r="B4" s="39">
        <v>40498.574999999997</v>
      </c>
      <c r="C4" s="40" t="s">
        <v>19</v>
      </c>
      <c r="D4" s="131" t="s">
        <v>36</v>
      </c>
      <c r="E4" s="131"/>
      <c r="F4" s="132"/>
    </row>
    <row r="5" spans="1:8" ht="13.5" customHeight="1" x14ac:dyDescent="0.2">
      <c r="A5" s="50" t="s">
        <v>23</v>
      </c>
      <c r="B5" s="41" t="s">
        <v>21</v>
      </c>
      <c r="C5" s="41"/>
      <c r="D5" s="36"/>
      <c r="E5" s="42">
        <f>B4-(6/24)</f>
        <v>40498.324999999997</v>
      </c>
      <c r="F5" s="51" t="s">
        <v>20</v>
      </c>
    </row>
    <row r="6" spans="1:8" ht="16.5" thickBot="1" x14ac:dyDescent="0.25">
      <c r="A6" s="52" t="s">
        <v>4</v>
      </c>
      <c r="B6" s="53">
        <v>412.8</v>
      </c>
      <c r="C6" s="54" t="s">
        <v>7</v>
      </c>
      <c r="D6" s="55">
        <f>B6*110</f>
        <v>45408</v>
      </c>
      <c r="E6" s="56" t="s">
        <v>9</v>
      </c>
      <c r="F6" s="57"/>
      <c r="H6" s="67" t="s">
        <v>37</v>
      </c>
    </row>
    <row r="7" spans="1:8" ht="13.5" thickBot="1" x14ac:dyDescent="0.25">
      <c r="B7" s="32"/>
      <c r="C7" s="38"/>
      <c r="D7" s="32"/>
      <c r="E7" s="43"/>
      <c r="F7" s="38"/>
      <c r="H7" s="27" t="s">
        <v>0</v>
      </c>
    </row>
    <row r="8" spans="1:8" x14ac:dyDescent="0.2">
      <c r="A8" s="58" t="s">
        <v>22</v>
      </c>
      <c r="B8" s="59" t="s">
        <v>8</v>
      </c>
      <c r="C8" s="130">
        <v>40518.755555555559</v>
      </c>
      <c r="D8" s="130"/>
      <c r="E8" s="60"/>
      <c r="F8" s="38"/>
      <c r="H8" s="27"/>
    </row>
    <row r="9" spans="1:8" ht="14.25" x14ac:dyDescent="0.25">
      <c r="A9" s="61"/>
      <c r="B9" s="32" t="s">
        <v>32</v>
      </c>
      <c r="C9" s="33">
        <v>1.0215000000000001</v>
      </c>
      <c r="D9" s="41"/>
      <c r="E9" s="62"/>
      <c r="F9" s="38"/>
      <c r="H9" s="27"/>
    </row>
    <row r="10" spans="1:8" ht="14.25" x14ac:dyDescent="0.25">
      <c r="A10" s="61"/>
      <c r="B10" s="32" t="s">
        <v>33</v>
      </c>
      <c r="C10" s="33">
        <v>1.0007999999999999</v>
      </c>
      <c r="D10" s="41"/>
      <c r="E10" s="62"/>
      <c r="F10" s="38"/>
      <c r="H10" s="27"/>
    </row>
    <row r="11" spans="1:8" ht="15.75" x14ac:dyDescent="0.2">
      <c r="A11" s="61"/>
      <c r="B11" s="32" t="s">
        <v>25</v>
      </c>
      <c r="C11" s="34">
        <f>468.1*0.999</f>
        <v>467.63190000000003</v>
      </c>
      <c r="D11" s="43" t="s">
        <v>34</v>
      </c>
      <c r="E11" s="62"/>
      <c r="F11" s="38"/>
      <c r="H11" s="27"/>
    </row>
    <row r="12" spans="1:8" x14ac:dyDescent="0.2">
      <c r="A12" s="61"/>
      <c r="B12" s="32" t="s">
        <v>24</v>
      </c>
      <c r="C12" s="35">
        <v>-78.254999999999995</v>
      </c>
      <c r="D12" s="1" t="s">
        <v>27</v>
      </c>
      <c r="E12" s="62"/>
      <c r="F12" s="38"/>
      <c r="H12" s="27"/>
    </row>
    <row r="13" spans="1:8" ht="15.75" x14ac:dyDescent="0.2">
      <c r="A13" s="50" t="s">
        <v>26</v>
      </c>
      <c r="B13" s="32"/>
      <c r="C13" s="38"/>
      <c r="D13" s="44">
        <f>-C12*C11*C10*C9</f>
        <v>37411.221876149903</v>
      </c>
      <c r="E13" s="62" t="s">
        <v>9</v>
      </c>
      <c r="F13" s="38"/>
      <c r="H13" s="27"/>
    </row>
    <row r="14" spans="1:8" x14ac:dyDescent="0.2">
      <c r="A14" s="61"/>
      <c r="B14" s="1" t="s">
        <v>5</v>
      </c>
      <c r="C14" s="45">
        <f>EXP(-0.693*(C8-E5)/73.831)</f>
        <v>0.82549890090737277</v>
      </c>
      <c r="D14" s="32"/>
      <c r="E14" s="62"/>
      <c r="F14" s="38"/>
      <c r="H14" s="27"/>
    </row>
    <row r="15" spans="1:8" ht="15.75" x14ac:dyDescent="0.2">
      <c r="A15" s="50" t="s">
        <v>29</v>
      </c>
      <c r="B15" s="32"/>
      <c r="C15" s="38"/>
      <c r="D15" s="44">
        <f>B6*C14*110</f>
        <v>37484.254092401985</v>
      </c>
      <c r="E15" s="62" t="s">
        <v>9</v>
      </c>
      <c r="F15" s="38"/>
      <c r="H15" s="27"/>
    </row>
    <row r="16" spans="1:8" ht="13.5" thickBot="1" x14ac:dyDescent="0.25">
      <c r="A16" s="52"/>
      <c r="B16" s="55"/>
      <c r="C16" s="54"/>
      <c r="D16" s="63">
        <f>(D13-D15)/D13*100</f>
        <v>-0.19521473127463218</v>
      </c>
      <c r="E16" s="64" t="s">
        <v>28</v>
      </c>
      <c r="F16" s="38"/>
      <c r="H16" s="27"/>
    </row>
    <row r="17" spans="1:8" ht="13.5" thickBot="1" x14ac:dyDescent="0.25">
      <c r="B17" s="32"/>
      <c r="C17" s="38"/>
      <c r="D17" s="32"/>
      <c r="E17" s="43"/>
      <c r="F17" s="38"/>
      <c r="H17" s="27"/>
    </row>
    <row r="18" spans="1:8" x14ac:dyDescent="0.2">
      <c r="A18" s="58" t="s">
        <v>30</v>
      </c>
      <c r="B18" s="65" t="s">
        <v>8</v>
      </c>
      <c r="C18" s="130">
        <v>40498.324999999997</v>
      </c>
      <c r="D18" s="130"/>
      <c r="E18" s="60"/>
      <c r="F18" s="38"/>
      <c r="H18" s="27"/>
    </row>
    <row r="19" spans="1:8" ht="15.75" x14ac:dyDescent="0.2">
      <c r="A19" s="50" t="s">
        <v>31</v>
      </c>
      <c r="B19" s="32"/>
      <c r="C19" s="38"/>
      <c r="D19" s="34">
        <v>45408</v>
      </c>
      <c r="E19" s="62" t="s">
        <v>9</v>
      </c>
      <c r="F19" s="38"/>
      <c r="H19" s="27"/>
    </row>
    <row r="20" spans="1:8" x14ac:dyDescent="0.2">
      <c r="A20" s="61"/>
      <c r="B20" s="1" t="s">
        <v>5</v>
      </c>
      <c r="C20" s="45">
        <f>EXP(-0.693*(C18-E5)/73.831)</f>
        <v>1</v>
      </c>
      <c r="D20" s="32"/>
      <c r="E20" s="62"/>
      <c r="F20" s="38"/>
      <c r="H20" s="27"/>
    </row>
    <row r="21" spans="1:8" ht="15.75" x14ac:dyDescent="0.2">
      <c r="A21" s="50" t="s">
        <v>29</v>
      </c>
      <c r="B21" s="36"/>
      <c r="C21" s="38"/>
      <c r="D21" s="44">
        <f>B6*C20*110</f>
        <v>45408</v>
      </c>
      <c r="E21" s="62" t="s">
        <v>9</v>
      </c>
      <c r="F21" s="38"/>
      <c r="H21" s="27"/>
    </row>
    <row r="22" spans="1:8" ht="13.5" thickBot="1" x14ac:dyDescent="0.25">
      <c r="A22" s="52"/>
      <c r="B22" s="66"/>
      <c r="C22" s="66"/>
      <c r="D22" s="63">
        <f>(D19-D21)/D19*100</f>
        <v>0</v>
      </c>
      <c r="E22" s="64" t="s">
        <v>28</v>
      </c>
      <c r="F22" s="38"/>
      <c r="H22" s="27"/>
    </row>
    <row r="23" spans="1:8" x14ac:dyDescent="0.2">
      <c r="F23" s="38"/>
      <c r="H23" s="27"/>
    </row>
    <row r="24" spans="1:8" x14ac:dyDescent="0.2">
      <c r="F24" s="38"/>
      <c r="H24" s="27"/>
    </row>
    <row r="26" spans="1:8" ht="15.75" customHeight="1" x14ac:dyDescent="0.2">
      <c r="C26" s="38"/>
      <c r="D26" s="38"/>
      <c r="E26" s="38"/>
      <c r="F26" s="38"/>
    </row>
    <row r="27" spans="1:8" x14ac:dyDescent="0.2">
      <c r="B27" s="37"/>
      <c r="C27" s="38"/>
    </row>
    <row r="29" spans="1:8" x14ac:dyDescent="0.2">
      <c r="F29" s="5"/>
    </row>
    <row r="30" spans="1:8" x14ac:dyDescent="0.2">
      <c r="F30" s="5"/>
    </row>
  </sheetData>
  <mergeCells count="5">
    <mergeCell ref="C8:D8"/>
    <mergeCell ref="C18:D18"/>
    <mergeCell ref="A1:F1"/>
    <mergeCell ref="A2:F2"/>
    <mergeCell ref="D4:F4"/>
  </mergeCells>
  <phoneticPr fontId="1" type="noConversion"/>
  <pageMargins left="0.99" right="0.4" top="0.96" bottom="0.71" header="0.2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C11" sqref="C11"/>
    </sheetView>
  </sheetViews>
  <sheetFormatPr defaultRowHeight="12.75" x14ac:dyDescent="0.2"/>
  <cols>
    <col min="1" max="1" width="29.28515625" style="1" customWidth="1"/>
    <col min="2" max="2" width="14.85546875" style="1" customWidth="1"/>
    <col min="3" max="3" width="8.7109375" style="1" customWidth="1"/>
    <col min="4" max="4" width="12.85546875" style="1" customWidth="1"/>
    <col min="5" max="5" width="13.28515625" style="1" customWidth="1"/>
    <col min="6" max="6" width="8.7109375" style="1" customWidth="1"/>
    <col min="7" max="7" width="10.85546875" style="1" customWidth="1"/>
    <col min="8" max="16384" width="9.140625" style="1"/>
  </cols>
  <sheetData>
    <row r="1" spans="1:8" ht="15" customHeight="1" x14ac:dyDescent="0.2">
      <c r="A1" s="119" t="s">
        <v>2</v>
      </c>
      <c r="B1" s="119"/>
      <c r="C1" s="119"/>
      <c r="D1" s="119"/>
      <c r="E1" s="119"/>
      <c r="F1" s="119"/>
    </row>
    <row r="2" spans="1:8" ht="18.75" customHeight="1" thickBot="1" x14ac:dyDescent="0.25">
      <c r="A2" s="119" t="s">
        <v>3</v>
      </c>
      <c r="B2" s="119"/>
      <c r="C2" s="119"/>
      <c r="D2" s="119"/>
      <c r="E2" s="119"/>
      <c r="F2" s="119"/>
    </row>
    <row r="3" spans="1:8" ht="18.75" customHeight="1" x14ac:dyDescent="0.25">
      <c r="A3" s="46" t="s">
        <v>38</v>
      </c>
      <c r="B3" s="47"/>
      <c r="C3" s="47"/>
      <c r="D3" s="47"/>
      <c r="E3" s="47"/>
      <c r="F3" s="48"/>
    </row>
    <row r="4" spans="1:8" ht="15" customHeight="1" x14ac:dyDescent="0.2">
      <c r="A4" s="49" t="s">
        <v>8</v>
      </c>
      <c r="B4" s="39">
        <v>40586.494444444441</v>
      </c>
      <c r="C4" s="40" t="s">
        <v>19</v>
      </c>
      <c r="D4" s="131" t="s">
        <v>42</v>
      </c>
      <c r="E4" s="131"/>
      <c r="F4" s="132"/>
    </row>
    <row r="5" spans="1:8" ht="13.5" customHeight="1" x14ac:dyDescent="0.2">
      <c r="A5" s="50" t="s">
        <v>23</v>
      </c>
      <c r="B5" s="41" t="s">
        <v>21</v>
      </c>
      <c r="C5" s="41"/>
      <c r="D5" s="36"/>
      <c r="E5" s="42">
        <f>B4-(6/24)</f>
        <v>40586.244444444441</v>
      </c>
      <c r="F5" s="51" t="s">
        <v>20</v>
      </c>
    </row>
    <row r="6" spans="1:8" ht="16.5" thickBot="1" x14ac:dyDescent="0.25">
      <c r="A6" s="52" t="s">
        <v>4</v>
      </c>
      <c r="B6" s="53">
        <v>447.38</v>
      </c>
      <c r="C6" s="54" t="s">
        <v>7</v>
      </c>
      <c r="D6" s="55">
        <f>B6*110</f>
        <v>49211.8</v>
      </c>
      <c r="E6" s="56" t="s">
        <v>9</v>
      </c>
      <c r="F6" s="57"/>
    </row>
    <row r="7" spans="1:8" ht="13.5" thickBot="1" x14ac:dyDescent="0.25">
      <c r="B7" s="32"/>
      <c r="C7" s="38"/>
      <c r="D7" s="32"/>
      <c r="E7" s="43"/>
      <c r="F7" s="38"/>
      <c r="G7" s="73" t="s">
        <v>43</v>
      </c>
      <c r="H7" s="27"/>
    </row>
    <row r="8" spans="1:8" x14ac:dyDescent="0.2">
      <c r="A8" s="58" t="s">
        <v>22</v>
      </c>
      <c r="B8" s="59" t="s">
        <v>8</v>
      </c>
      <c r="C8" s="130">
        <v>40598.57708333333</v>
      </c>
      <c r="D8" s="130"/>
      <c r="E8" s="60"/>
      <c r="F8" s="38"/>
      <c r="G8" s="58" t="s">
        <v>39</v>
      </c>
      <c r="H8" s="68">
        <v>21.3</v>
      </c>
    </row>
    <row r="9" spans="1:8" ht="14.25" x14ac:dyDescent="0.25">
      <c r="A9" s="61"/>
      <c r="B9" s="32" t="s">
        <v>32</v>
      </c>
      <c r="C9" s="69">
        <f>H10</f>
        <v>1.0015807267760786</v>
      </c>
      <c r="D9" s="41"/>
      <c r="E9" s="62"/>
      <c r="F9" s="38"/>
      <c r="G9" s="50" t="s">
        <v>40</v>
      </c>
      <c r="H9" s="70">
        <v>757</v>
      </c>
    </row>
    <row r="10" spans="1:8" ht="15" thickBot="1" x14ac:dyDescent="0.3">
      <c r="A10" s="61"/>
      <c r="B10" s="32" t="s">
        <v>33</v>
      </c>
      <c r="C10" s="33">
        <v>1.0008999999999999</v>
      </c>
      <c r="D10" s="41"/>
      <c r="E10" s="62"/>
      <c r="F10" s="38"/>
      <c r="G10" s="71" t="s">
        <v>41</v>
      </c>
      <c r="H10" s="72">
        <f>((H8+273)*760)/(H9*295)</f>
        <v>1.0015807267760786</v>
      </c>
    </row>
    <row r="11" spans="1:8" ht="15.75" x14ac:dyDescent="0.2">
      <c r="A11" s="61"/>
      <c r="B11" s="32" t="s">
        <v>25</v>
      </c>
      <c r="C11" s="34">
        <f>468.1*0.999</f>
        <v>467.63190000000003</v>
      </c>
      <c r="D11" s="43" t="s">
        <v>34</v>
      </c>
      <c r="E11" s="62"/>
      <c r="F11" s="38"/>
      <c r="H11" s="27"/>
    </row>
    <row r="12" spans="1:8" x14ac:dyDescent="0.2">
      <c r="A12" s="61"/>
      <c r="B12" s="32" t="s">
        <v>24</v>
      </c>
      <c r="C12" s="35">
        <v>-93.494</v>
      </c>
      <c r="D12" s="1" t="s">
        <v>27</v>
      </c>
      <c r="E12" s="62"/>
      <c r="F12" s="38"/>
      <c r="H12" s="27"/>
    </row>
    <row r="13" spans="1:8" ht="15.75" x14ac:dyDescent="0.2">
      <c r="A13" s="50" t="s">
        <v>26</v>
      </c>
      <c r="B13" s="32"/>
      <c r="C13" s="38"/>
      <c r="D13" s="44">
        <f>-C12*C11*C10*C9</f>
        <v>43829.298359966466</v>
      </c>
      <c r="E13" s="62" t="s">
        <v>9</v>
      </c>
      <c r="F13" s="38"/>
      <c r="H13" s="27"/>
    </row>
    <row r="14" spans="1:8" x14ac:dyDescent="0.2">
      <c r="A14" s="61"/>
      <c r="B14" s="1" t="s">
        <v>5</v>
      </c>
      <c r="C14" s="45">
        <f>EXP(-0.693*(C8-E5)/73.831)</f>
        <v>0.8906908668031035</v>
      </c>
      <c r="D14" s="32"/>
      <c r="E14" s="62"/>
      <c r="F14" s="38"/>
      <c r="H14" s="27"/>
    </row>
    <row r="15" spans="1:8" ht="15.75" x14ac:dyDescent="0.2">
      <c r="A15" s="50" t="s">
        <v>29</v>
      </c>
      <c r="B15" s="32"/>
      <c r="C15" s="38"/>
      <c r="D15" s="44">
        <f>B6*C14*110</f>
        <v>43832.500798940971</v>
      </c>
      <c r="E15" s="62" t="s">
        <v>9</v>
      </c>
      <c r="F15" s="38"/>
      <c r="H15" s="27"/>
    </row>
    <row r="16" spans="1:8" ht="13.5" thickBot="1" x14ac:dyDescent="0.25">
      <c r="A16" s="52"/>
      <c r="B16" s="55"/>
      <c r="C16" s="54"/>
      <c r="D16" s="63">
        <f>(D13-D15)/D13*100</f>
        <v>-7.306617021801875E-3</v>
      </c>
      <c r="E16" s="64" t="s">
        <v>28</v>
      </c>
      <c r="F16" s="38"/>
      <c r="H16" s="27"/>
    </row>
    <row r="17" spans="1:8" ht="13.5" thickBot="1" x14ac:dyDescent="0.25">
      <c r="B17" s="32"/>
      <c r="C17" s="38"/>
      <c r="D17" s="32"/>
      <c r="E17" s="43"/>
      <c r="F17" s="38"/>
      <c r="H17" s="27"/>
    </row>
    <row r="18" spans="1:8" x14ac:dyDescent="0.2">
      <c r="A18" s="58" t="s">
        <v>30</v>
      </c>
      <c r="B18" s="65" t="s">
        <v>8</v>
      </c>
      <c r="C18" s="130">
        <v>40598.574999999997</v>
      </c>
      <c r="D18" s="130"/>
      <c r="E18" s="60"/>
      <c r="F18" s="38"/>
      <c r="H18" s="27"/>
    </row>
    <row r="19" spans="1:8" ht="15.75" x14ac:dyDescent="0.2">
      <c r="A19" s="50" t="s">
        <v>31</v>
      </c>
      <c r="B19" s="32"/>
      <c r="C19" s="38"/>
      <c r="D19" s="34">
        <v>43831.07</v>
      </c>
      <c r="E19" s="62" t="s">
        <v>9</v>
      </c>
      <c r="F19" s="38"/>
      <c r="H19" s="27"/>
    </row>
    <row r="20" spans="1:8" x14ac:dyDescent="0.2">
      <c r="A20" s="61"/>
      <c r="B20" s="1" t="s">
        <v>5</v>
      </c>
      <c r="C20" s="45">
        <f>EXP(-0.693*(C18-E5)/73.831)</f>
        <v>0.8907082842498647</v>
      </c>
      <c r="D20" s="32"/>
      <c r="E20" s="62"/>
      <c r="F20" s="38"/>
      <c r="H20" s="27"/>
    </row>
    <row r="21" spans="1:8" ht="15.75" x14ac:dyDescent="0.2">
      <c r="A21" s="50" t="s">
        <v>29</v>
      </c>
      <c r="B21" s="36"/>
      <c r="C21" s="38"/>
      <c r="D21" s="44">
        <f>B6*C20*110</f>
        <v>43833.357942847491</v>
      </c>
      <c r="E21" s="62" t="s">
        <v>9</v>
      </c>
      <c r="F21" s="38"/>
      <c r="H21" s="27"/>
    </row>
    <row r="22" spans="1:8" ht="13.5" thickBot="1" x14ac:dyDescent="0.25">
      <c r="A22" s="52"/>
      <c r="B22" s="66"/>
      <c r="C22" s="66"/>
      <c r="D22" s="63">
        <f>(D19-D21)/D19*100</f>
        <v>-5.2199110071728784E-3</v>
      </c>
      <c r="E22" s="64" t="s">
        <v>28</v>
      </c>
      <c r="F22" s="38"/>
      <c r="H22" s="27"/>
    </row>
    <row r="23" spans="1:8" x14ac:dyDescent="0.2">
      <c r="F23" s="38"/>
      <c r="H23" s="27"/>
    </row>
    <row r="24" spans="1:8" x14ac:dyDescent="0.2">
      <c r="F24" s="38"/>
      <c r="H24" s="27"/>
    </row>
    <row r="26" spans="1:8" ht="15.75" customHeight="1" x14ac:dyDescent="0.2">
      <c r="C26" s="38"/>
      <c r="D26" s="38"/>
      <c r="E26" s="38"/>
      <c r="F26" s="38"/>
    </row>
    <row r="27" spans="1:8" x14ac:dyDescent="0.2">
      <c r="B27" s="37"/>
      <c r="C27" s="38"/>
    </row>
    <row r="29" spans="1:8" x14ac:dyDescent="0.2">
      <c r="F29" s="5"/>
    </row>
    <row r="30" spans="1:8" x14ac:dyDescent="0.2">
      <c r="F30" s="5"/>
    </row>
  </sheetData>
  <mergeCells count="5">
    <mergeCell ref="C8:D8"/>
    <mergeCell ref="C18:D18"/>
    <mergeCell ref="A1:F1"/>
    <mergeCell ref="A2:F2"/>
    <mergeCell ref="D4:F4"/>
  </mergeCells>
  <phoneticPr fontId="1" type="noConversion"/>
  <pageMargins left="0.99" right="0.4" top="0.96" bottom="0.71" header="0.25" footer="0.5"/>
  <pageSetup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G26" sqref="G26"/>
    </sheetView>
  </sheetViews>
  <sheetFormatPr defaultRowHeight="12.75" x14ac:dyDescent="0.2"/>
  <cols>
    <col min="1" max="1" width="29.28515625" style="1" customWidth="1"/>
    <col min="2" max="2" width="14.85546875" style="1" customWidth="1"/>
    <col min="3" max="3" width="8.7109375" style="1" customWidth="1"/>
    <col min="4" max="4" width="12.85546875" style="1" customWidth="1"/>
    <col min="5" max="5" width="13.28515625" style="1" customWidth="1"/>
    <col min="6" max="6" width="8.7109375" style="1" customWidth="1"/>
    <col min="7" max="7" width="10.85546875" style="1" customWidth="1"/>
    <col min="8" max="16384" width="9.140625" style="1"/>
  </cols>
  <sheetData>
    <row r="1" spans="1:8" ht="15" customHeight="1" x14ac:dyDescent="0.2">
      <c r="A1" s="119" t="s">
        <v>2</v>
      </c>
      <c r="B1" s="119"/>
      <c r="C1" s="119"/>
      <c r="D1" s="119"/>
      <c r="E1" s="119"/>
      <c r="F1" s="119"/>
    </row>
    <row r="2" spans="1:8" ht="18.75" customHeight="1" thickBot="1" x14ac:dyDescent="0.25">
      <c r="A2" s="119" t="s">
        <v>3</v>
      </c>
      <c r="B2" s="119"/>
      <c r="C2" s="119"/>
      <c r="D2" s="119"/>
      <c r="E2" s="119"/>
      <c r="F2" s="119"/>
    </row>
    <row r="3" spans="1:8" ht="18.75" customHeight="1" x14ac:dyDescent="0.25">
      <c r="A3" s="46" t="s">
        <v>38</v>
      </c>
      <c r="B3" s="47"/>
      <c r="C3" s="47"/>
      <c r="D3" s="47"/>
      <c r="E3" s="47"/>
      <c r="F3" s="48"/>
    </row>
    <row r="4" spans="1:8" ht="15" customHeight="1" x14ac:dyDescent="0.2">
      <c r="A4" s="49" t="s">
        <v>8</v>
      </c>
      <c r="B4" s="39">
        <v>40774.340277777781</v>
      </c>
      <c r="C4" s="40" t="s">
        <v>19</v>
      </c>
      <c r="D4" s="131" t="s">
        <v>42</v>
      </c>
      <c r="E4" s="131"/>
      <c r="F4" s="132"/>
    </row>
    <row r="5" spans="1:8" ht="13.5" customHeight="1" x14ac:dyDescent="0.2">
      <c r="A5" s="50" t="s">
        <v>23</v>
      </c>
      <c r="B5" s="41" t="s">
        <v>21</v>
      </c>
      <c r="C5" s="41"/>
      <c r="D5" s="36"/>
      <c r="E5" s="42">
        <f>B4-(6/24)</f>
        <v>40774.090277777781</v>
      </c>
      <c r="F5" s="51" t="s">
        <v>20</v>
      </c>
    </row>
    <row r="6" spans="1:8" ht="16.5" thickBot="1" x14ac:dyDescent="0.25">
      <c r="A6" s="52" t="s">
        <v>4</v>
      </c>
      <c r="B6" s="53">
        <v>422.96</v>
      </c>
      <c r="C6" s="54" t="s">
        <v>7</v>
      </c>
      <c r="D6" s="55">
        <f>B6*110</f>
        <v>46525.599999999999</v>
      </c>
      <c r="E6" s="56" t="s">
        <v>9</v>
      </c>
      <c r="F6" s="57"/>
    </row>
    <row r="7" spans="1:8" ht="13.5" thickBot="1" x14ac:dyDescent="0.25">
      <c r="B7" s="32"/>
      <c r="C7" s="38"/>
      <c r="D7" s="32"/>
      <c r="E7" s="43"/>
      <c r="F7" s="38"/>
      <c r="G7" s="73" t="s">
        <v>43</v>
      </c>
      <c r="H7" s="27"/>
    </row>
    <row r="8" spans="1:8" x14ac:dyDescent="0.2">
      <c r="A8" s="58" t="s">
        <v>22</v>
      </c>
      <c r="B8" s="59" t="s">
        <v>8</v>
      </c>
      <c r="C8" s="130">
        <v>40793.690972222219</v>
      </c>
      <c r="D8" s="130"/>
      <c r="E8" s="60"/>
      <c r="F8" s="38"/>
      <c r="G8" s="58" t="s">
        <v>39</v>
      </c>
      <c r="H8" s="68">
        <v>20.7</v>
      </c>
    </row>
    <row r="9" spans="1:8" ht="14.25" x14ac:dyDescent="0.25">
      <c r="A9" s="61"/>
      <c r="B9" s="32" t="s">
        <v>32</v>
      </c>
      <c r="C9" s="69">
        <f>H10</f>
        <v>0.99559322033898301</v>
      </c>
      <c r="D9" s="41"/>
      <c r="E9" s="62"/>
      <c r="F9" s="38"/>
      <c r="G9" s="50" t="s">
        <v>40</v>
      </c>
      <c r="H9" s="70">
        <v>760</v>
      </c>
    </row>
    <row r="10" spans="1:8" ht="15" thickBot="1" x14ac:dyDescent="0.3">
      <c r="A10" s="61"/>
      <c r="B10" s="32" t="s">
        <v>33</v>
      </c>
      <c r="C10" s="33">
        <v>1.0007999999999999</v>
      </c>
      <c r="D10" s="41"/>
      <c r="E10" s="62"/>
      <c r="F10" s="38"/>
      <c r="G10" s="71" t="s">
        <v>41</v>
      </c>
      <c r="H10" s="72">
        <f>((H8+273)*760)/(H9*295)</f>
        <v>0.99559322033898301</v>
      </c>
    </row>
    <row r="11" spans="1:8" ht="15.75" x14ac:dyDescent="0.2">
      <c r="A11" s="61"/>
      <c r="B11" s="32" t="s">
        <v>25</v>
      </c>
      <c r="C11" s="34">
        <f>468.1*0.999</f>
        <v>467.63190000000003</v>
      </c>
      <c r="D11" s="43" t="s">
        <v>34</v>
      </c>
      <c r="E11" s="62"/>
      <c r="F11" s="38"/>
      <c r="H11" s="27"/>
    </row>
    <row r="12" spans="1:8" x14ac:dyDescent="0.2">
      <c r="A12" s="61"/>
      <c r="B12" s="32" t="s">
        <v>24</v>
      </c>
      <c r="C12" s="35">
        <v>-82.751000000000005</v>
      </c>
      <c r="D12" s="1" t="s">
        <v>27</v>
      </c>
      <c r="E12" s="62"/>
      <c r="F12" s="38"/>
      <c r="H12" s="27"/>
    </row>
    <row r="13" spans="1:8" ht="15.75" x14ac:dyDescent="0.2">
      <c r="A13" s="50" t="s">
        <v>26</v>
      </c>
      <c r="B13" s="32"/>
      <c r="C13" s="38"/>
      <c r="D13" s="44">
        <f>-C12*C11*C10*C9</f>
        <v>38557.299354474933</v>
      </c>
      <c r="E13" s="62" t="s">
        <v>9</v>
      </c>
      <c r="F13" s="38"/>
      <c r="H13" s="27"/>
    </row>
    <row r="14" spans="1:8" x14ac:dyDescent="0.2">
      <c r="A14" s="61"/>
      <c r="B14" s="1" t="s">
        <v>5</v>
      </c>
      <c r="C14" s="45">
        <f>EXP(-0.693*(C8-E5)/73.831)</f>
        <v>0.83195408935261284</v>
      </c>
      <c r="D14" s="32"/>
      <c r="E14" s="62"/>
      <c r="F14" s="38"/>
      <c r="H14" s="27"/>
    </row>
    <row r="15" spans="1:8" ht="15.75" x14ac:dyDescent="0.2">
      <c r="A15" s="50" t="s">
        <v>29</v>
      </c>
      <c r="B15" s="32"/>
      <c r="C15" s="38"/>
      <c r="D15" s="44">
        <f>B6*C14*110</f>
        <v>38707.16317958392</v>
      </c>
      <c r="E15" s="62" t="s">
        <v>9</v>
      </c>
      <c r="F15" s="38"/>
      <c r="H15" s="27"/>
    </row>
    <row r="16" spans="1:8" ht="13.5" thickBot="1" x14ac:dyDescent="0.25">
      <c r="A16" s="52"/>
      <c r="B16" s="55"/>
      <c r="C16" s="54"/>
      <c r="D16" s="63">
        <f>(D13-D15)/D13*100</f>
        <v>-0.38867822077272601</v>
      </c>
      <c r="E16" s="64" t="s">
        <v>28</v>
      </c>
      <c r="F16" s="38"/>
      <c r="H16" s="27"/>
    </row>
    <row r="17" spans="1:8" ht="13.5" thickBot="1" x14ac:dyDescent="0.25">
      <c r="B17" s="32"/>
      <c r="C17" s="38"/>
      <c r="D17" s="32"/>
      <c r="E17" s="43"/>
      <c r="F17" s="38"/>
      <c r="H17" s="27"/>
    </row>
    <row r="18" spans="1:8" x14ac:dyDescent="0.2">
      <c r="A18" s="58" t="s">
        <v>1</v>
      </c>
      <c r="B18" s="65" t="s">
        <v>8</v>
      </c>
      <c r="C18" s="130">
        <v>40793.690972222219</v>
      </c>
      <c r="D18" s="130"/>
      <c r="E18" s="60"/>
      <c r="F18" s="38"/>
      <c r="H18" s="27"/>
    </row>
    <row r="19" spans="1:8" ht="15.75" x14ac:dyDescent="0.2">
      <c r="A19" s="50" t="s">
        <v>31</v>
      </c>
      <c r="B19" s="32"/>
      <c r="C19" s="38"/>
      <c r="D19" s="34">
        <v>38727.01</v>
      </c>
      <c r="E19" s="62" t="s">
        <v>9</v>
      </c>
      <c r="F19" s="38"/>
      <c r="H19" s="27"/>
    </row>
    <row r="20" spans="1:8" x14ac:dyDescent="0.2">
      <c r="A20" s="61"/>
      <c r="B20" s="1" t="s">
        <v>5</v>
      </c>
      <c r="C20" s="45">
        <f>EXP(-0.693*(C18-E5)/73.831)</f>
        <v>0.83195408935261284</v>
      </c>
      <c r="D20" s="32"/>
      <c r="E20" s="62"/>
      <c r="F20" s="38"/>
      <c r="H20" s="27"/>
    </row>
    <row r="21" spans="1:8" ht="15.75" x14ac:dyDescent="0.2">
      <c r="A21" s="50" t="s">
        <v>29</v>
      </c>
      <c r="B21" s="36"/>
      <c r="C21" s="38"/>
      <c r="D21" s="44">
        <f>B6*C20*110</f>
        <v>38707.16317958392</v>
      </c>
      <c r="E21" s="62" t="s">
        <v>9</v>
      </c>
      <c r="F21" s="38"/>
      <c r="H21" s="27"/>
    </row>
    <row r="22" spans="1:8" ht="13.5" thickBot="1" x14ac:dyDescent="0.25">
      <c r="A22" s="52"/>
      <c r="B22" s="66"/>
      <c r="C22" s="66"/>
      <c r="D22" s="63">
        <f>(D19-D21)/D19*100</f>
        <v>5.1248006019782452E-2</v>
      </c>
      <c r="E22" s="64" t="s">
        <v>28</v>
      </c>
      <c r="F22" s="38"/>
      <c r="H22" s="27"/>
    </row>
    <row r="23" spans="1:8" x14ac:dyDescent="0.2">
      <c r="F23" s="38"/>
      <c r="H23" s="27"/>
    </row>
    <row r="24" spans="1:8" x14ac:dyDescent="0.2">
      <c r="F24" s="38"/>
      <c r="H24" s="27"/>
    </row>
    <row r="26" spans="1:8" ht="15.75" customHeight="1" x14ac:dyDescent="0.2">
      <c r="C26" s="38"/>
      <c r="D26" s="38"/>
      <c r="E26" s="38"/>
      <c r="F26" s="38"/>
    </row>
    <row r="27" spans="1:8" x14ac:dyDescent="0.2">
      <c r="B27" s="37"/>
      <c r="C27" s="38"/>
    </row>
    <row r="29" spans="1:8" x14ac:dyDescent="0.2">
      <c r="F29" s="5"/>
    </row>
    <row r="30" spans="1:8" x14ac:dyDescent="0.2">
      <c r="F30" s="5"/>
    </row>
  </sheetData>
  <mergeCells count="5">
    <mergeCell ref="C8:D8"/>
    <mergeCell ref="C18:D18"/>
    <mergeCell ref="A1:F1"/>
    <mergeCell ref="A2:F2"/>
    <mergeCell ref="D4:F4"/>
  </mergeCells>
  <phoneticPr fontId="1" type="noConversion"/>
  <pageMargins left="0.99" right="0.4" top="0.96" bottom="0.71" header="0.25" footer="0.5"/>
  <pageSetup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D20" sqref="D20"/>
    </sheetView>
  </sheetViews>
  <sheetFormatPr defaultRowHeight="12.75" x14ac:dyDescent="0.2"/>
  <cols>
    <col min="1" max="1" width="29.28515625" style="1" customWidth="1"/>
    <col min="2" max="2" width="14.85546875" style="1" customWidth="1"/>
    <col min="3" max="3" width="8.7109375" style="1" customWidth="1"/>
    <col min="4" max="4" width="12.85546875" style="1" customWidth="1"/>
    <col min="5" max="5" width="13.28515625" style="1" customWidth="1"/>
    <col min="6" max="6" width="8.7109375" style="1" customWidth="1"/>
    <col min="7" max="7" width="10.85546875" style="1" customWidth="1"/>
    <col min="8" max="16384" width="9.140625" style="1"/>
  </cols>
  <sheetData>
    <row r="1" spans="1:8" ht="15" customHeight="1" x14ac:dyDescent="0.2">
      <c r="A1" s="119" t="s">
        <v>2</v>
      </c>
      <c r="B1" s="119"/>
      <c r="C1" s="119"/>
      <c r="D1" s="119"/>
      <c r="E1" s="119"/>
      <c r="F1" s="119"/>
    </row>
    <row r="2" spans="1:8" ht="18.75" customHeight="1" thickBot="1" x14ac:dyDescent="0.25">
      <c r="A2" s="119" t="s">
        <v>3</v>
      </c>
      <c r="B2" s="119"/>
      <c r="C2" s="119"/>
      <c r="D2" s="119"/>
      <c r="E2" s="119"/>
      <c r="F2" s="119"/>
    </row>
    <row r="3" spans="1:8" ht="18.75" customHeight="1" x14ac:dyDescent="0.25">
      <c r="A3" s="46" t="s">
        <v>44</v>
      </c>
      <c r="B3" s="47"/>
      <c r="C3" s="47"/>
      <c r="D3" s="47"/>
      <c r="E3" s="47"/>
      <c r="F3" s="48"/>
    </row>
    <row r="4" spans="1:8" ht="15" customHeight="1" x14ac:dyDescent="0.2">
      <c r="A4" s="49" t="s">
        <v>8</v>
      </c>
      <c r="B4" s="39">
        <v>40856.313194444447</v>
      </c>
      <c r="C4" s="40" t="s">
        <v>19</v>
      </c>
      <c r="D4" s="131" t="s">
        <v>42</v>
      </c>
      <c r="E4" s="131"/>
      <c r="F4" s="132"/>
    </row>
    <row r="5" spans="1:8" ht="13.5" customHeight="1" x14ac:dyDescent="0.2">
      <c r="A5" s="50" t="s">
        <v>23</v>
      </c>
      <c r="B5" s="41" t="s">
        <v>21</v>
      </c>
      <c r="C5" s="41"/>
      <c r="D5" s="36"/>
      <c r="E5" s="42">
        <f>B4-(6/24)</f>
        <v>40856.063194444447</v>
      </c>
      <c r="F5" s="51" t="s">
        <v>20</v>
      </c>
    </row>
    <row r="6" spans="1:8" ht="16.5" thickBot="1" x14ac:dyDescent="0.25">
      <c r="A6" s="52" t="s">
        <v>4</v>
      </c>
      <c r="B6" s="53">
        <v>457.66</v>
      </c>
      <c r="C6" s="54" t="s">
        <v>7</v>
      </c>
      <c r="D6" s="55">
        <f>B6*110</f>
        <v>50342.600000000006</v>
      </c>
      <c r="E6" s="56" t="s">
        <v>9</v>
      </c>
      <c r="F6" s="57"/>
    </row>
    <row r="7" spans="1:8" ht="13.5" thickBot="1" x14ac:dyDescent="0.25">
      <c r="B7" s="32"/>
      <c r="C7" s="38"/>
      <c r="D7" s="32"/>
      <c r="E7" s="43"/>
      <c r="F7" s="38"/>
      <c r="G7" s="73" t="s">
        <v>43</v>
      </c>
      <c r="H7" s="27"/>
    </row>
    <row r="8" spans="1:8" x14ac:dyDescent="0.2">
      <c r="A8" s="58" t="s">
        <v>22</v>
      </c>
      <c r="B8" s="59" t="s">
        <v>8</v>
      </c>
      <c r="C8" s="130">
        <v>40878.75</v>
      </c>
      <c r="D8" s="130"/>
      <c r="E8" s="60"/>
      <c r="F8" s="38"/>
      <c r="G8" s="58" t="s">
        <v>39</v>
      </c>
      <c r="H8" s="68">
        <v>20.3</v>
      </c>
    </row>
    <row r="9" spans="1:8" ht="14.25" x14ac:dyDescent="0.25">
      <c r="A9" s="61"/>
      <c r="B9" s="32" t="s">
        <v>32</v>
      </c>
      <c r="C9" s="69">
        <f>H10</f>
        <v>0.99032809827398538</v>
      </c>
      <c r="D9" s="41"/>
      <c r="E9" s="62"/>
      <c r="F9" s="38"/>
      <c r="G9" s="50" t="s">
        <v>40</v>
      </c>
      <c r="H9" s="70">
        <v>763</v>
      </c>
    </row>
    <row r="10" spans="1:8" ht="15" thickBot="1" x14ac:dyDescent="0.3">
      <c r="A10" s="61"/>
      <c r="B10" s="32" t="s">
        <v>33</v>
      </c>
      <c r="C10" s="33">
        <v>1.0007999999999999</v>
      </c>
      <c r="D10" s="41"/>
      <c r="E10" s="62"/>
      <c r="F10" s="38"/>
      <c r="G10" s="71" t="s">
        <v>41</v>
      </c>
      <c r="H10" s="72">
        <f>((H8+273)*760)/(H9*295)</f>
        <v>0.99032809827398538</v>
      </c>
    </row>
    <row r="11" spans="1:8" ht="15.75" x14ac:dyDescent="0.2">
      <c r="A11" s="61"/>
      <c r="B11" s="32" t="s">
        <v>25</v>
      </c>
      <c r="C11" s="34">
        <f>468.1*0.999</f>
        <v>467.63190000000003</v>
      </c>
      <c r="D11" s="43" t="s">
        <v>34</v>
      </c>
      <c r="E11" s="62"/>
      <c r="F11" s="38"/>
      <c r="H11" s="27"/>
    </row>
    <row r="12" spans="1:8" x14ac:dyDescent="0.2">
      <c r="A12" s="61"/>
      <c r="B12" s="32" t="s">
        <v>24</v>
      </c>
      <c r="C12" s="35">
        <v>-87.465999999999994</v>
      </c>
      <c r="D12" s="1" t="s">
        <v>27</v>
      </c>
      <c r="E12" s="62"/>
      <c r="F12" s="38"/>
      <c r="H12" s="27"/>
    </row>
    <row r="13" spans="1:8" ht="15.75" x14ac:dyDescent="0.2">
      <c r="A13" s="50" t="s">
        <v>26</v>
      </c>
      <c r="B13" s="32"/>
      <c r="C13" s="38"/>
      <c r="D13" s="44">
        <f>-C12*C11*C10*C9</f>
        <v>40538.697721987235</v>
      </c>
      <c r="E13" s="62" t="s">
        <v>9</v>
      </c>
      <c r="F13" s="38"/>
      <c r="H13" s="27"/>
    </row>
    <row r="14" spans="1:8" x14ac:dyDescent="0.2">
      <c r="A14" s="61"/>
      <c r="B14" s="1" t="s">
        <v>5</v>
      </c>
      <c r="C14" s="45">
        <f>EXP(-0.693*(C8-E5)/73.831)</f>
        <v>0.8082004342662138</v>
      </c>
      <c r="D14" s="32"/>
      <c r="E14" s="62"/>
      <c r="F14" s="38"/>
      <c r="H14" s="27"/>
    </row>
    <row r="15" spans="1:8" ht="15.75" x14ac:dyDescent="0.2">
      <c r="A15" s="50" t="s">
        <v>29</v>
      </c>
      <c r="B15" s="32"/>
      <c r="C15" s="38"/>
      <c r="D15" s="44">
        <f>B6*C14*110</f>
        <v>40686.911182090298</v>
      </c>
      <c r="E15" s="62" t="s">
        <v>9</v>
      </c>
      <c r="F15" s="38"/>
      <c r="H15" s="27"/>
    </row>
    <row r="16" spans="1:8" ht="13.5" thickBot="1" x14ac:dyDescent="0.25">
      <c r="A16" s="52"/>
      <c r="B16" s="55"/>
      <c r="C16" s="54"/>
      <c r="D16" s="63">
        <f>(D13-D15)/D13*100</f>
        <v>-0.36560982081739513</v>
      </c>
      <c r="E16" s="64" t="s">
        <v>28</v>
      </c>
      <c r="F16" s="38"/>
      <c r="H16" s="27"/>
    </row>
    <row r="17" spans="1:8" ht="13.5" thickBot="1" x14ac:dyDescent="0.25">
      <c r="B17" s="32"/>
      <c r="C17" s="38"/>
      <c r="D17" s="32"/>
      <c r="E17" s="43"/>
      <c r="F17" s="38"/>
      <c r="H17" s="27"/>
    </row>
    <row r="18" spans="1:8" x14ac:dyDescent="0.2">
      <c r="A18" s="58" t="s">
        <v>1</v>
      </c>
      <c r="B18" s="65" t="s">
        <v>8</v>
      </c>
      <c r="C18" s="130">
        <v>40878.75</v>
      </c>
      <c r="D18" s="130"/>
      <c r="E18" s="60"/>
      <c r="F18" s="38"/>
      <c r="H18" s="27"/>
    </row>
    <row r="19" spans="1:8" ht="15.75" x14ac:dyDescent="0.2">
      <c r="A19" s="50" t="s">
        <v>31</v>
      </c>
      <c r="B19" s="32"/>
      <c r="C19" s="38"/>
      <c r="D19" s="34">
        <v>40674.629999999997</v>
      </c>
      <c r="E19" s="62" t="s">
        <v>9</v>
      </c>
      <c r="F19" s="38"/>
      <c r="H19" s="27"/>
    </row>
    <row r="20" spans="1:8" x14ac:dyDescent="0.2">
      <c r="A20" s="61"/>
      <c r="B20" s="1" t="s">
        <v>5</v>
      </c>
      <c r="C20" s="45">
        <f>EXP(-0.693*(C18-E5)/73.831)</f>
        <v>0.8082004342662138</v>
      </c>
      <c r="D20" s="32"/>
      <c r="E20" s="62"/>
      <c r="F20" s="38"/>
      <c r="H20" s="27"/>
    </row>
    <row r="21" spans="1:8" ht="15.75" x14ac:dyDescent="0.2">
      <c r="A21" s="50" t="s">
        <v>29</v>
      </c>
      <c r="B21" s="36"/>
      <c r="C21" s="38"/>
      <c r="D21" s="44">
        <f>B6*C20*110</f>
        <v>40686.911182090298</v>
      </c>
      <c r="E21" s="62" t="s">
        <v>9</v>
      </c>
      <c r="F21" s="38"/>
      <c r="H21" s="27"/>
    </row>
    <row r="22" spans="1:8" ht="13.5" thickBot="1" x14ac:dyDescent="0.25">
      <c r="A22" s="52"/>
      <c r="B22" s="66"/>
      <c r="C22" s="66"/>
      <c r="D22" s="63">
        <f>(D19-D21)/D19*100</f>
        <v>-3.0193715567420575E-2</v>
      </c>
      <c r="E22" s="64" t="s">
        <v>28</v>
      </c>
      <c r="F22" s="38"/>
      <c r="H22" s="27"/>
    </row>
    <row r="23" spans="1:8" x14ac:dyDescent="0.2">
      <c r="F23" s="38"/>
      <c r="H23" s="27"/>
    </row>
    <row r="24" spans="1:8" x14ac:dyDescent="0.2">
      <c r="F24" s="38"/>
      <c r="H24" s="27"/>
    </row>
    <row r="26" spans="1:8" ht="15.75" customHeight="1" x14ac:dyDescent="0.2">
      <c r="C26" s="38"/>
      <c r="D26" s="38"/>
      <c r="E26" s="38"/>
      <c r="F26" s="38"/>
    </row>
    <row r="27" spans="1:8" x14ac:dyDescent="0.2">
      <c r="B27" s="37"/>
      <c r="C27" s="38"/>
    </row>
    <row r="29" spans="1:8" x14ac:dyDescent="0.2">
      <c r="F29" s="5"/>
    </row>
    <row r="30" spans="1:8" x14ac:dyDescent="0.2">
      <c r="F30" s="5"/>
    </row>
  </sheetData>
  <mergeCells count="5">
    <mergeCell ref="C8:D8"/>
    <mergeCell ref="C18:D18"/>
    <mergeCell ref="A1:F1"/>
    <mergeCell ref="A2:F2"/>
    <mergeCell ref="D4:F4"/>
  </mergeCells>
  <phoneticPr fontId="1" type="noConversion"/>
  <pageMargins left="0.99" right="0.4" top="0.96" bottom="0.71" header="0.25" footer="0.5"/>
  <pageSetup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D20" sqref="D20"/>
    </sheetView>
  </sheetViews>
  <sheetFormatPr defaultRowHeight="12.75" x14ac:dyDescent="0.2"/>
  <cols>
    <col min="1" max="1" width="29.28515625" style="1" customWidth="1"/>
    <col min="2" max="2" width="14.85546875" style="1" customWidth="1"/>
    <col min="3" max="3" width="8.7109375" style="1" customWidth="1"/>
    <col min="4" max="4" width="12.85546875" style="1" customWidth="1"/>
    <col min="5" max="5" width="13.28515625" style="1" customWidth="1"/>
    <col min="6" max="6" width="8.7109375" style="1" customWidth="1"/>
    <col min="7" max="7" width="10.85546875" style="1" customWidth="1"/>
    <col min="8" max="16384" width="9.140625" style="1"/>
  </cols>
  <sheetData>
    <row r="1" spans="1:8" ht="15" customHeight="1" x14ac:dyDescent="0.2">
      <c r="A1" s="119" t="s">
        <v>2</v>
      </c>
      <c r="B1" s="119"/>
      <c r="C1" s="119"/>
      <c r="D1" s="119"/>
      <c r="E1" s="119"/>
      <c r="F1" s="119"/>
    </row>
    <row r="2" spans="1:8" ht="18.75" customHeight="1" thickBot="1" x14ac:dyDescent="0.25">
      <c r="A2" s="119" t="s">
        <v>3</v>
      </c>
      <c r="B2" s="119"/>
      <c r="C2" s="119"/>
      <c r="D2" s="119"/>
      <c r="E2" s="119"/>
      <c r="F2" s="119"/>
    </row>
    <row r="3" spans="1:8" ht="18.75" customHeight="1" x14ac:dyDescent="0.25">
      <c r="A3" s="46" t="s">
        <v>45</v>
      </c>
      <c r="B3" s="47"/>
      <c r="C3" s="47"/>
      <c r="D3" s="47"/>
      <c r="E3" s="47"/>
      <c r="F3" s="48"/>
    </row>
    <row r="4" spans="1:8" ht="15" customHeight="1" x14ac:dyDescent="0.2">
      <c r="A4" s="49" t="s">
        <v>8</v>
      </c>
      <c r="B4" s="39">
        <v>41141.897916666669</v>
      </c>
      <c r="C4" s="40" t="s">
        <v>19</v>
      </c>
      <c r="D4" s="131" t="s">
        <v>42</v>
      </c>
      <c r="E4" s="131"/>
      <c r="F4" s="132"/>
    </row>
    <row r="5" spans="1:8" ht="13.5" customHeight="1" x14ac:dyDescent="0.2">
      <c r="A5" s="50" t="s">
        <v>23</v>
      </c>
      <c r="B5" s="41" t="s">
        <v>21</v>
      </c>
      <c r="C5" s="41"/>
      <c r="D5" s="36"/>
      <c r="E5" s="42">
        <f>B4-(6/24)</f>
        <v>41141.647916666669</v>
      </c>
      <c r="F5" s="51" t="s">
        <v>20</v>
      </c>
    </row>
    <row r="6" spans="1:8" ht="16.5" thickBot="1" x14ac:dyDescent="0.25">
      <c r="A6" s="52" t="s">
        <v>4</v>
      </c>
      <c r="B6" s="53">
        <v>393.26</v>
      </c>
      <c r="C6" s="54" t="s">
        <v>7</v>
      </c>
      <c r="D6" s="55">
        <f>B6*110</f>
        <v>43258.6</v>
      </c>
      <c r="E6" s="56" t="s">
        <v>9</v>
      </c>
      <c r="F6" s="57"/>
    </row>
    <row r="7" spans="1:8" ht="13.5" thickBot="1" x14ac:dyDescent="0.25">
      <c r="B7" s="32"/>
      <c r="C7" s="38"/>
      <c r="D7" s="32"/>
      <c r="E7" s="43"/>
      <c r="F7" s="38"/>
      <c r="G7" s="73" t="s">
        <v>43</v>
      </c>
      <c r="H7" s="27"/>
    </row>
    <row r="8" spans="1:8" x14ac:dyDescent="0.2">
      <c r="A8" s="58" t="s">
        <v>22</v>
      </c>
      <c r="B8" s="59" t="s">
        <v>8</v>
      </c>
      <c r="C8" s="130">
        <v>41159.6875</v>
      </c>
      <c r="D8" s="130"/>
      <c r="E8" s="60"/>
      <c r="F8" s="38"/>
      <c r="G8" s="58" t="s">
        <v>39</v>
      </c>
      <c r="H8" s="68">
        <v>21.2</v>
      </c>
    </row>
    <row r="9" spans="1:8" ht="14.25" x14ac:dyDescent="0.25">
      <c r="A9" s="61"/>
      <c r="B9" s="32" t="s">
        <v>32</v>
      </c>
      <c r="C9" s="69">
        <f>H10</f>
        <v>1.0072278844529534</v>
      </c>
      <c r="D9" s="41"/>
      <c r="E9" s="62"/>
      <c r="F9" s="38"/>
      <c r="G9" s="50" t="s">
        <v>40</v>
      </c>
      <c r="H9" s="70">
        <v>752.5</v>
      </c>
    </row>
    <row r="10" spans="1:8" ht="15" thickBot="1" x14ac:dyDescent="0.3">
      <c r="A10" s="61"/>
      <c r="B10" s="32" t="s">
        <v>33</v>
      </c>
      <c r="C10" s="33">
        <v>1.0006999999999999</v>
      </c>
      <c r="D10" s="41"/>
      <c r="E10" s="62"/>
      <c r="F10" s="38"/>
      <c r="G10" s="71" t="s">
        <v>41</v>
      </c>
      <c r="H10" s="72">
        <f>((H8+273)*760)/(H9*295)</f>
        <v>1.0072278844529534</v>
      </c>
    </row>
    <row r="11" spans="1:8" ht="15.75" x14ac:dyDescent="0.2">
      <c r="A11" s="61"/>
      <c r="B11" s="32" t="s">
        <v>25</v>
      </c>
      <c r="C11" s="34">
        <v>469</v>
      </c>
      <c r="D11" s="43" t="s">
        <v>34</v>
      </c>
      <c r="E11" s="62"/>
      <c r="F11" s="38"/>
      <c r="H11" s="27"/>
    </row>
    <row r="12" spans="1:8" x14ac:dyDescent="0.2">
      <c r="A12" s="61"/>
      <c r="B12" s="32" t="s">
        <v>24</v>
      </c>
      <c r="C12" s="35">
        <v>-77.19</v>
      </c>
      <c r="D12" s="1" t="s">
        <v>27</v>
      </c>
      <c r="E12" s="62"/>
      <c r="F12" s="38"/>
      <c r="H12" s="27"/>
    </row>
    <row r="13" spans="1:8" ht="15.75" x14ac:dyDescent="0.2">
      <c r="A13" s="50" t="s">
        <v>26</v>
      </c>
      <c r="B13" s="32"/>
      <c r="C13" s="38"/>
      <c r="D13" s="44">
        <f>-C12*C11*C10*C9</f>
        <v>36489.299310300725</v>
      </c>
      <c r="E13" s="62" t="s">
        <v>9</v>
      </c>
      <c r="F13" s="38"/>
      <c r="H13" s="27"/>
    </row>
    <row r="14" spans="1:8" x14ac:dyDescent="0.2">
      <c r="A14" s="61"/>
      <c r="B14" s="1" t="s">
        <v>5</v>
      </c>
      <c r="C14" s="45">
        <f>EXP(-0.693*(C8-E5)/73.831)</f>
        <v>0.8442345148912398</v>
      </c>
      <c r="D14" s="32"/>
      <c r="E14" s="62"/>
      <c r="F14" s="38"/>
      <c r="H14" s="27"/>
    </row>
    <row r="15" spans="1:8" ht="15.75" x14ac:dyDescent="0.2">
      <c r="A15" s="50" t="s">
        <v>29</v>
      </c>
      <c r="B15" s="32"/>
      <c r="C15" s="38"/>
      <c r="D15" s="44">
        <f>B6*C14*110</f>
        <v>36520.403185874187</v>
      </c>
      <c r="E15" s="62" t="s">
        <v>9</v>
      </c>
      <c r="F15" s="38"/>
      <c r="H15" s="27"/>
    </row>
    <row r="16" spans="1:8" ht="13.5" thickBot="1" x14ac:dyDescent="0.25">
      <c r="A16" s="52"/>
      <c r="B16" s="55"/>
      <c r="C16" s="54"/>
      <c r="D16" s="63">
        <f>(D13-D15)/D13*100</f>
        <v>-8.5241087555447043E-2</v>
      </c>
      <c r="E16" s="64" t="s">
        <v>28</v>
      </c>
      <c r="F16" s="38"/>
      <c r="H16" s="27"/>
    </row>
    <row r="17" spans="1:8" ht="13.5" thickBot="1" x14ac:dyDescent="0.25">
      <c r="B17" s="32"/>
      <c r="C17" s="38"/>
      <c r="D17" s="32"/>
      <c r="E17" s="43"/>
      <c r="F17" s="38"/>
      <c r="H17" s="27"/>
    </row>
    <row r="18" spans="1:8" x14ac:dyDescent="0.2">
      <c r="A18" s="58" t="s">
        <v>1</v>
      </c>
      <c r="B18" s="65" t="s">
        <v>8</v>
      </c>
      <c r="C18" s="130">
        <v>41162.343055555553</v>
      </c>
      <c r="D18" s="130"/>
      <c r="E18" s="60"/>
      <c r="F18" s="38"/>
      <c r="H18" s="27"/>
    </row>
    <row r="19" spans="1:8" ht="15.75" x14ac:dyDescent="0.2">
      <c r="A19" s="50" t="s">
        <v>31</v>
      </c>
      <c r="B19" s="32"/>
      <c r="C19" s="38"/>
      <c r="D19" s="34">
        <v>35615.379999999997</v>
      </c>
      <c r="E19" s="62" t="s">
        <v>9</v>
      </c>
      <c r="F19" s="38"/>
      <c r="H19" s="27"/>
    </row>
    <row r="20" spans="1:8" x14ac:dyDescent="0.2">
      <c r="A20" s="61"/>
      <c r="B20" s="1" t="s">
        <v>5</v>
      </c>
      <c r="C20" s="45">
        <f>EXP(-0.693*(C18-E5)/73.831)</f>
        <v>0.82345135191448859</v>
      </c>
      <c r="D20" s="32"/>
      <c r="E20" s="62"/>
      <c r="F20" s="38"/>
      <c r="H20" s="27"/>
    </row>
    <row r="21" spans="1:8" ht="15.75" x14ac:dyDescent="0.2">
      <c r="A21" s="50" t="s">
        <v>29</v>
      </c>
      <c r="B21" s="36"/>
      <c r="C21" s="38"/>
      <c r="D21" s="44">
        <f>B6*C20*110</f>
        <v>35621.352651928093</v>
      </c>
      <c r="E21" s="62" t="s">
        <v>9</v>
      </c>
      <c r="F21" s="38"/>
      <c r="H21" s="27"/>
    </row>
    <row r="22" spans="1:8" ht="13.5" thickBot="1" x14ac:dyDescent="0.25">
      <c r="A22" s="52"/>
      <c r="B22" s="66"/>
      <c r="C22" s="66"/>
      <c r="D22" s="63">
        <f>(D19-D21)/D19*100</f>
        <v>-1.6769867198091752E-2</v>
      </c>
      <c r="E22" s="64" t="s">
        <v>28</v>
      </c>
      <c r="F22" s="38"/>
      <c r="H22" s="27"/>
    </row>
    <row r="23" spans="1:8" x14ac:dyDescent="0.2">
      <c r="F23" s="38"/>
      <c r="H23" s="27"/>
    </row>
    <row r="24" spans="1:8" x14ac:dyDescent="0.2">
      <c r="F24" s="38"/>
      <c r="H24" s="27"/>
    </row>
    <row r="26" spans="1:8" ht="15.75" customHeight="1" x14ac:dyDescent="0.2">
      <c r="C26" s="38"/>
      <c r="D26" s="38"/>
      <c r="E26" s="38"/>
      <c r="F26" s="38"/>
    </row>
    <row r="27" spans="1:8" x14ac:dyDescent="0.2">
      <c r="B27" s="37"/>
      <c r="C27" s="38"/>
    </row>
    <row r="29" spans="1:8" x14ac:dyDescent="0.2">
      <c r="F29" s="5"/>
    </row>
    <row r="30" spans="1:8" x14ac:dyDescent="0.2">
      <c r="F30" s="5"/>
    </row>
  </sheetData>
  <mergeCells count="5">
    <mergeCell ref="C8:D8"/>
    <mergeCell ref="C18:D18"/>
    <mergeCell ref="A1:F1"/>
    <mergeCell ref="A2:F2"/>
    <mergeCell ref="D4:F4"/>
  </mergeCells>
  <phoneticPr fontId="1" type="noConversion"/>
  <pageMargins left="0.99" right="0.4" top="0.96" bottom="0.71" header="0.25" footer="0.5"/>
  <pageSetup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K22" sqref="K22"/>
    </sheetView>
  </sheetViews>
  <sheetFormatPr defaultRowHeight="12.75" x14ac:dyDescent="0.2"/>
  <cols>
    <col min="1" max="1" width="29.28515625" style="1" customWidth="1"/>
    <col min="2" max="2" width="14.85546875" style="1" customWidth="1"/>
    <col min="3" max="3" width="8.7109375" style="1" customWidth="1"/>
    <col min="4" max="4" width="12.85546875" style="1" customWidth="1"/>
    <col min="5" max="5" width="13.28515625" style="1" customWidth="1"/>
    <col min="6" max="6" width="8.7109375" style="1" customWidth="1"/>
    <col min="7" max="7" width="10.85546875" style="1" customWidth="1"/>
    <col min="8" max="16384" width="9.140625" style="1"/>
  </cols>
  <sheetData>
    <row r="1" spans="1:8" ht="15" customHeight="1" x14ac:dyDescent="0.2">
      <c r="A1" s="119" t="s">
        <v>2</v>
      </c>
      <c r="B1" s="119"/>
      <c r="C1" s="119"/>
      <c r="D1" s="119"/>
      <c r="E1" s="119"/>
      <c r="F1" s="119"/>
    </row>
    <row r="2" spans="1:8" ht="18.75" customHeight="1" thickBot="1" x14ac:dyDescent="0.25">
      <c r="A2" s="119" t="s">
        <v>3</v>
      </c>
      <c r="B2" s="119"/>
      <c r="C2" s="119"/>
      <c r="D2" s="119"/>
      <c r="E2" s="119"/>
      <c r="F2" s="119"/>
    </row>
    <row r="3" spans="1:8" ht="18.75" customHeight="1" x14ac:dyDescent="0.25">
      <c r="A3" s="75" t="s">
        <v>46</v>
      </c>
      <c r="B3" s="47"/>
      <c r="C3" s="47"/>
      <c r="D3" s="47"/>
      <c r="E3" s="47"/>
      <c r="F3" s="48"/>
    </row>
    <row r="4" spans="1:8" ht="15" customHeight="1" x14ac:dyDescent="0.25">
      <c r="A4" s="49" t="s">
        <v>8</v>
      </c>
      <c r="B4" s="76">
        <v>41422.827777777777</v>
      </c>
      <c r="C4" s="40" t="s">
        <v>19</v>
      </c>
      <c r="D4" s="133" t="s">
        <v>47</v>
      </c>
      <c r="E4" s="133"/>
      <c r="F4" s="134"/>
    </row>
    <row r="5" spans="1:8" ht="13.5" customHeight="1" x14ac:dyDescent="0.2">
      <c r="A5" s="50" t="s">
        <v>23</v>
      </c>
      <c r="B5" s="41" t="s">
        <v>21</v>
      </c>
      <c r="C5" s="41"/>
      <c r="D5" s="36"/>
      <c r="E5" s="42">
        <f>B4-(6/24)</f>
        <v>41422.577777777777</v>
      </c>
      <c r="F5" s="51" t="s">
        <v>20</v>
      </c>
    </row>
    <row r="6" spans="1:8" ht="17.25" thickBot="1" x14ac:dyDescent="0.3">
      <c r="A6" s="52" t="s">
        <v>4</v>
      </c>
      <c r="B6" s="77">
        <v>408.76</v>
      </c>
      <c r="C6" s="54" t="s">
        <v>7</v>
      </c>
      <c r="D6" s="78">
        <f>B6*110</f>
        <v>44963.6</v>
      </c>
      <c r="E6" s="56" t="s">
        <v>9</v>
      </c>
      <c r="F6" s="57"/>
    </row>
    <row r="7" spans="1:8" ht="13.5" thickBot="1" x14ac:dyDescent="0.25">
      <c r="B7" s="32"/>
      <c r="C7" s="38"/>
      <c r="D7" s="32"/>
      <c r="E7" s="43"/>
      <c r="F7" s="38"/>
      <c r="G7" s="73" t="s">
        <v>43</v>
      </c>
      <c r="H7" s="27"/>
    </row>
    <row r="8" spans="1:8" ht="15" x14ac:dyDescent="0.25">
      <c r="A8" s="58" t="s">
        <v>22</v>
      </c>
      <c r="B8" s="59" t="s">
        <v>8</v>
      </c>
      <c r="C8" s="135">
        <v>41443.604166666664</v>
      </c>
      <c r="D8" s="135"/>
      <c r="E8" s="60"/>
      <c r="F8" s="38"/>
      <c r="G8" s="58" t="s">
        <v>39</v>
      </c>
      <c r="H8" s="84">
        <v>22</v>
      </c>
    </row>
    <row r="9" spans="1:8" ht="15" x14ac:dyDescent="0.25">
      <c r="A9" s="61"/>
      <c r="B9" s="32" t="s">
        <v>32</v>
      </c>
      <c r="C9" s="79">
        <f>H10</f>
        <v>1.0074231177094379</v>
      </c>
      <c r="D9" s="41"/>
      <c r="E9" s="62"/>
      <c r="F9" s="38"/>
      <c r="G9" s="50" t="s">
        <v>40</v>
      </c>
      <c r="H9" s="85">
        <v>754.4</v>
      </c>
    </row>
    <row r="10" spans="1:8" ht="15.75" thickBot="1" x14ac:dyDescent="0.3">
      <c r="A10" s="61"/>
      <c r="B10" s="32" t="s">
        <v>33</v>
      </c>
      <c r="C10" s="80">
        <v>1.0007999999999999</v>
      </c>
      <c r="D10" s="41"/>
      <c r="E10" s="62"/>
      <c r="F10" s="38"/>
      <c r="G10" s="71" t="s">
        <v>41</v>
      </c>
      <c r="H10" s="86">
        <f>((H8+273)*760)/(H9*295)</f>
        <v>1.0074231177094379</v>
      </c>
    </row>
    <row r="11" spans="1:8" ht="16.5" x14ac:dyDescent="0.25">
      <c r="A11" s="61"/>
      <c r="B11" s="32" t="s">
        <v>25</v>
      </c>
      <c r="C11" s="81">
        <v>469</v>
      </c>
      <c r="D11" s="43" t="s">
        <v>34</v>
      </c>
      <c r="E11" s="62"/>
      <c r="F11" s="38"/>
      <c r="H11" s="27"/>
    </row>
    <row r="12" spans="1:8" ht="15" x14ac:dyDescent="0.25">
      <c r="A12" s="61"/>
      <c r="B12" s="32" t="s">
        <v>24</v>
      </c>
      <c r="C12" s="82">
        <v>-78.676000000000002</v>
      </c>
      <c r="D12" s="1" t="s">
        <v>27</v>
      </c>
      <c r="E12" s="62"/>
      <c r="F12" s="38"/>
      <c r="H12" s="27"/>
    </row>
    <row r="13" spans="1:8" ht="16.5" x14ac:dyDescent="0.25">
      <c r="A13" s="50" t="s">
        <v>26</v>
      </c>
      <c r="B13" s="32"/>
      <c r="C13" s="38"/>
      <c r="D13" s="83">
        <f>-C12*C11*C10*C9</f>
        <v>37202.688306935306</v>
      </c>
      <c r="E13" s="62" t="s">
        <v>9</v>
      </c>
      <c r="F13" s="38"/>
      <c r="H13" s="27"/>
    </row>
    <row r="14" spans="1:8" x14ac:dyDescent="0.2">
      <c r="A14" s="61"/>
      <c r="B14" s="1" t="s">
        <v>5</v>
      </c>
      <c r="C14" s="45">
        <f>EXP(-0.693*(C8-E5)/73.831)</f>
        <v>0.82089504299256122</v>
      </c>
      <c r="D14" s="32"/>
      <c r="E14" s="62"/>
      <c r="F14" s="38"/>
      <c r="H14" s="27"/>
    </row>
    <row r="15" spans="1:8" ht="16.5" x14ac:dyDescent="0.25">
      <c r="A15" s="50" t="s">
        <v>29</v>
      </c>
      <c r="B15" s="32"/>
      <c r="C15" s="38"/>
      <c r="D15" s="83">
        <f>B6*C14*110</f>
        <v>36910.396355100325</v>
      </c>
      <c r="E15" s="62" t="s">
        <v>9</v>
      </c>
      <c r="F15" s="38"/>
      <c r="H15" s="27"/>
    </row>
    <row r="16" spans="1:8" ht="15.75" thickBot="1" x14ac:dyDescent="0.3">
      <c r="A16" s="52"/>
      <c r="B16" s="55"/>
      <c r="C16" s="54"/>
      <c r="D16" s="74">
        <f>(D13-D15)/D13*100</f>
        <v>0.7856742755347923</v>
      </c>
      <c r="E16" s="64" t="s">
        <v>28</v>
      </c>
      <c r="F16" s="38"/>
      <c r="H16" s="27"/>
    </row>
    <row r="17" spans="1:8" ht="13.5" thickBot="1" x14ac:dyDescent="0.25">
      <c r="B17" s="32"/>
      <c r="C17" s="38"/>
      <c r="D17" s="32"/>
      <c r="E17" s="43"/>
      <c r="F17" s="38"/>
      <c r="H17" s="27"/>
    </row>
    <row r="18" spans="1:8" ht="15" x14ac:dyDescent="0.25">
      <c r="A18" s="58" t="s">
        <v>1</v>
      </c>
      <c r="B18" s="65" t="s">
        <v>8</v>
      </c>
      <c r="C18" s="136">
        <f>C8</f>
        <v>41443.604166666664</v>
      </c>
      <c r="D18" s="136"/>
      <c r="E18" s="60"/>
      <c r="F18" s="38"/>
      <c r="H18" s="27"/>
    </row>
    <row r="19" spans="1:8" ht="16.5" x14ac:dyDescent="0.25">
      <c r="A19" s="50" t="s">
        <v>31</v>
      </c>
      <c r="B19" s="32"/>
      <c r="C19" s="38"/>
      <c r="D19" s="81">
        <v>36903.800000000003</v>
      </c>
      <c r="E19" s="62" t="s">
        <v>9</v>
      </c>
      <c r="F19" s="38"/>
      <c r="H19" s="27"/>
    </row>
    <row r="20" spans="1:8" x14ac:dyDescent="0.2">
      <c r="A20" s="61"/>
      <c r="B20" s="1" t="s">
        <v>5</v>
      </c>
      <c r="C20" s="45">
        <f>EXP(-0.693*(C18-E5)/73.831)</f>
        <v>0.82089504299256122</v>
      </c>
      <c r="D20" s="32"/>
      <c r="E20" s="62"/>
      <c r="F20" s="38"/>
      <c r="H20" s="27"/>
    </row>
    <row r="21" spans="1:8" ht="16.5" x14ac:dyDescent="0.25">
      <c r="A21" s="50" t="s">
        <v>29</v>
      </c>
      <c r="B21" s="36"/>
      <c r="C21" s="38"/>
      <c r="D21" s="83">
        <f>B6*C20*110</f>
        <v>36910.396355100325</v>
      </c>
      <c r="E21" s="62" t="s">
        <v>9</v>
      </c>
      <c r="F21" s="38"/>
      <c r="H21" s="27"/>
    </row>
    <row r="22" spans="1:8" ht="15.75" thickBot="1" x14ac:dyDescent="0.3">
      <c r="A22" s="52"/>
      <c r="B22" s="66"/>
      <c r="C22" s="66"/>
      <c r="D22" s="74">
        <f>(D19-D21)/D19*100</f>
        <v>-1.7874460354549933E-2</v>
      </c>
      <c r="E22" s="64" t="s">
        <v>28</v>
      </c>
      <c r="F22" s="38"/>
      <c r="H22" s="27"/>
    </row>
    <row r="23" spans="1:8" x14ac:dyDescent="0.2">
      <c r="F23" s="38"/>
      <c r="H23" s="27"/>
    </row>
    <row r="24" spans="1:8" x14ac:dyDescent="0.2">
      <c r="F24" s="38"/>
      <c r="H24" s="27"/>
    </row>
    <row r="26" spans="1:8" ht="15.75" customHeight="1" x14ac:dyDescent="0.2">
      <c r="C26" s="38"/>
      <c r="D26" s="38"/>
      <c r="E26" s="38"/>
      <c r="F26" s="38"/>
    </row>
    <row r="27" spans="1:8" x14ac:dyDescent="0.2">
      <c r="B27" s="37"/>
      <c r="C27" s="38"/>
    </row>
    <row r="29" spans="1:8" x14ac:dyDescent="0.2">
      <c r="F29" s="5"/>
    </row>
    <row r="30" spans="1:8" x14ac:dyDescent="0.2">
      <c r="F30" s="5"/>
    </row>
  </sheetData>
  <mergeCells count="5">
    <mergeCell ref="A1:F1"/>
    <mergeCell ref="A2:F2"/>
    <mergeCell ref="D4:F4"/>
    <mergeCell ref="C8:D8"/>
    <mergeCell ref="C18:D18"/>
  </mergeCells>
  <pageMargins left="0.99" right="0.4" top="0.96" bottom="0.71" header="0.25" footer="0.5"/>
  <pageSetup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D20" sqref="D20"/>
    </sheetView>
  </sheetViews>
  <sheetFormatPr defaultRowHeight="12.75" x14ac:dyDescent="0.2"/>
  <cols>
    <col min="1" max="1" width="29.28515625" style="87" customWidth="1"/>
    <col min="2" max="2" width="14.85546875" style="87" customWidth="1"/>
    <col min="3" max="3" width="8.7109375" style="87" customWidth="1"/>
    <col min="4" max="4" width="12.85546875" style="87" customWidth="1"/>
    <col min="5" max="5" width="13.28515625" style="87" customWidth="1"/>
    <col min="6" max="6" width="8.7109375" style="87" customWidth="1"/>
    <col min="7" max="7" width="10.85546875" style="87" customWidth="1"/>
    <col min="8" max="16384" width="9.140625" style="87"/>
  </cols>
  <sheetData>
    <row r="1" spans="1:8" ht="15" customHeight="1" x14ac:dyDescent="0.2">
      <c r="A1" s="137" t="s">
        <v>2</v>
      </c>
      <c r="B1" s="137"/>
      <c r="C1" s="137"/>
      <c r="D1" s="137"/>
      <c r="E1" s="137"/>
      <c r="F1" s="137"/>
    </row>
    <row r="2" spans="1:8" ht="18.75" customHeight="1" thickBot="1" x14ac:dyDescent="0.25">
      <c r="A2" s="137" t="s">
        <v>3</v>
      </c>
      <c r="B2" s="137"/>
      <c r="C2" s="137"/>
      <c r="D2" s="137"/>
      <c r="E2" s="137"/>
      <c r="F2" s="137"/>
    </row>
    <row r="3" spans="1:8" ht="18.75" customHeight="1" x14ac:dyDescent="0.25">
      <c r="A3" s="75" t="s">
        <v>48</v>
      </c>
      <c r="B3" s="118"/>
      <c r="C3" s="118"/>
      <c r="D3" s="118"/>
      <c r="E3" s="118"/>
      <c r="F3" s="117"/>
    </row>
    <row r="4" spans="1:8" ht="15" customHeight="1" x14ac:dyDescent="0.25">
      <c r="A4" s="116" t="s">
        <v>8</v>
      </c>
      <c r="B4" s="76">
        <v>41604.852777777778</v>
      </c>
      <c r="C4" s="115" t="s">
        <v>19</v>
      </c>
      <c r="D4" s="133" t="s">
        <v>47</v>
      </c>
      <c r="E4" s="133"/>
      <c r="F4" s="134"/>
    </row>
    <row r="5" spans="1:8" ht="13.5" customHeight="1" x14ac:dyDescent="0.2">
      <c r="A5" s="97" t="s">
        <v>23</v>
      </c>
      <c r="B5" s="108" t="s">
        <v>21</v>
      </c>
      <c r="C5" s="108"/>
      <c r="D5" s="96"/>
      <c r="E5" s="114">
        <f>B4-(6/24)</f>
        <v>41604.602777777778</v>
      </c>
      <c r="F5" s="113" t="s">
        <v>20</v>
      </c>
    </row>
    <row r="6" spans="1:8" ht="17.25" thickBot="1" x14ac:dyDescent="0.3">
      <c r="A6" s="94" t="s">
        <v>4</v>
      </c>
      <c r="B6" s="77">
        <v>395</v>
      </c>
      <c r="C6" s="105" t="s">
        <v>7</v>
      </c>
      <c r="D6" s="78">
        <f>B6*110</f>
        <v>43450</v>
      </c>
      <c r="E6" s="112" t="s">
        <v>9</v>
      </c>
      <c r="F6" s="111"/>
    </row>
    <row r="7" spans="1:8" ht="13.5" thickBot="1" x14ac:dyDescent="0.25">
      <c r="B7" s="98"/>
      <c r="C7" s="89"/>
      <c r="D7" s="98"/>
      <c r="E7" s="104"/>
      <c r="F7" s="89"/>
      <c r="G7" s="110" t="s">
        <v>43</v>
      </c>
      <c r="H7" s="91"/>
    </row>
    <row r="8" spans="1:8" ht="15" x14ac:dyDescent="0.25">
      <c r="A8" s="103" t="s">
        <v>22</v>
      </c>
      <c r="B8" s="109" t="s">
        <v>8</v>
      </c>
      <c r="C8" s="135">
        <v>41624.597222222219</v>
      </c>
      <c r="D8" s="135"/>
      <c r="E8" s="101"/>
      <c r="F8" s="89"/>
      <c r="G8" s="103" t="s">
        <v>39</v>
      </c>
      <c r="H8" s="84">
        <v>22.4</v>
      </c>
    </row>
    <row r="9" spans="1:8" ht="15" x14ac:dyDescent="0.25">
      <c r="A9" s="100"/>
      <c r="B9" s="98" t="s">
        <v>32</v>
      </c>
      <c r="C9" s="79">
        <f>H10</f>
        <v>1.003998032288359</v>
      </c>
      <c r="D9" s="108"/>
      <c r="E9" s="95"/>
      <c r="F9" s="89"/>
      <c r="G9" s="97" t="s">
        <v>40</v>
      </c>
      <c r="H9" s="85">
        <v>758</v>
      </c>
    </row>
    <row r="10" spans="1:8" ht="15.75" thickBot="1" x14ac:dyDescent="0.3">
      <c r="A10" s="100"/>
      <c r="B10" s="98" t="s">
        <v>33</v>
      </c>
      <c r="C10" s="80">
        <v>1.0007999999999999</v>
      </c>
      <c r="D10" s="108"/>
      <c r="E10" s="95"/>
      <c r="F10" s="89"/>
      <c r="G10" s="107" t="s">
        <v>41</v>
      </c>
      <c r="H10" s="86">
        <f>((H8+273)*760)/(H9*295)</f>
        <v>1.003998032288359</v>
      </c>
    </row>
    <row r="11" spans="1:8" ht="16.5" x14ac:dyDescent="0.25">
      <c r="A11" s="100"/>
      <c r="B11" s="98" t="s">
        <v>25</v>
      </c>
      <c r="C11" s="81">
        <v>469</v>
      </c>
      <c r="D11" s="104" t="s">
        <v>34</v>
      </c>
      <c r="E11" s="95"/>
      <c r="F11" s="89"/>
      <c r="H11" s="91"/>
    </row>
    <row r="12" spans="1:8" ht="15" x14ac:dyDescent="0.25">
      <c r="A12" s="100"/>
      <c r="B12" s="98" t="s">
        <v>24</v>
      </c>
      <c r="C12" s="82">
        <v>-77.278999999999996</v>
      </c>
      <c r="D12" s="87" t="s">
        <v>27</v>
      </c>
      <c r="E12" s="95"/>
      <c r="F12" s="89"/>
      <c r="H12" s="91"/>
    </row>
    <row r="13" spans="1:8" ht="16.5" x14ac:dyDescent="0.25">
      <c r="A13" s="97" t="s">
        <v>26</v>
      </c>
      <c r="B13" s="98"/>
      <c r="C13" s="89"/>
      <c r="D13" s="83">
        <f>-C12*C11*C10*C9</f>
        <v>36417.866090621712</v>
      </c>
      <c r="E13" s="95" t="s">
        <v>9</v>
      </c>
      <c r="F13" s="89"/>
      <c r="H13" s="91"/>
    </row>
    <row r="14" spans="1:8" x14ac:dyDescent="0.2">
      <c r="A14" s="100"/>
      <c r="B14" s="87" t="s">
        <v>5</v>
      </c>
      <c r="C14" s="99">
        <f>EXP(-0.693*(C8-E5)/73.831)</f>
        <v>0.82888498175938297</v>
      </c>
      <c r="D14" s="98"/>
      <c r="E14" s="95"/>
      <c r="F14" s="89"/>
      <c r="H14" s="91"/>
    </row>
    <row r="15" spans="1:8" ht="16.5" x14ac:dyDescent="0.25">
      <c r="A15" s="97" t="s">
        <v>29</v>
      </c>
      <c r="B15" s="98"/>
      <c r="C15" s="89"/>
      <c r="D15" s="83">
        <f>B6*C14*110</f>
        <v>36015.052457445192</v>
      </c>
      <c r="E15" s="95" t="s">
        <v>9</v>
      </c>
      <c r="F15" s="89"/>
      <c r="H15" s="91"/>
    </row>
    <row r="16" spans="1:8" ht="15.75" thickBot="1" x14ac:dyDescent="0.3">
      <c r="A16" s="94"/>
      <c r="B16" s="106"/>
      <c r="C16" s="105"/>
      <c r="D16" s="74">
        <f>(D13-D15)/D13*100</f>
        <v>1.1060879629085463</v>
      </c>
      <c r="E16" s="92" t="s">
        <v>28</v>
      </c>
      <c r="F16" s="89"/>
      <c r="H16" s="91"/>
    </row>
    <row r="17" spans="1:8" ht="13.5" thickBot="1" x14ac:dyDescent="0.25">
      <c r="B17" s="98"/>
      <c r="C17" s="89"/>
      <c r="D17" s="98"/>
      <c r="E17" s="104"/>
      <c r="F17" s="89"/>
      <c r="H17" s="91"/>
    </row>
    <row r="18" spans="1:8" ht="15" x14ac:dyDescent="0.25">
      <c r="A18" s="103" t="s">
        <v>1</v>
      </c>
      <c r="B18" s="102" t="s">
        <v>8</v>
      </c>
      <c r="C18" s="136">
        <f>C8</f>
        <v>41624.597222222219</v>
      </c>
      <c r="D18" s="136"/>
      <c r="E18" s="101"/>
      <c r="F18" s="89"/>
      <c r="H18" s="91"/>
    </row>
    <row r="19" spans="1:8" ht="16.5" x14ac:dyDescent="0.25">
      <c r="A19" s="97" t="s">
        <v>31</v>
      </c>
      <c r="B19" s="98"/>
      <c r="C19" s="89"/>
      <c r="D19" s="81">
        <v>36011.64</v>
      </c>
      <c r="E19" s="95" t="s">
        <v>9</v>
      </c>
      <c r="F19" s="89"/>
      <c r="H19" s="91"/>
    </row>
    <row r="20" spans="1:8" x14ac:dyDescent="0.2">
      <c r="A20" s="100"/>
      <c r="B20" s="87" t="s">
        <v>5</v>
      </c>
      <c r="C20" s="99">
        <f>EXP(-0.693*(C18-E5)/73.831)</f>
        <v>0.82888498175938297</v>
      </c>
      <c r="D20" s="98"/>
      <c r="E20" s="95"/>
      <c r="F20" s="89"/>
      <c r="H20" s="91"/>
    </row>
    <row r="21" spans="1:8" ht="16.5" x14ac:dyDescent="0.25">
      <c r="A21" s="97" t="s">
        <v>29</v>
      </c>
      <c r="B21" s="96"/>
      <c r="C21" s="89"/>
      <c r="D21" s="83">
        <f>B6*C20*110</f>
        <v>36015.052457445192</v>
      </c>
      <c r="E21" s="95" t="s">
        <v>9</v>
      </c>
      <c r="F21" s="89"/>
      <c r="H21" s="91"/>
    </row>
    <row r="22" spans="1:8" ht="15.75" thickBot="1" x14ac:dyDescent="0.3">
      <c r="A22" s="94"/>
      <c r="B22" s="93"/>
      <c r="C22" s="93"/>
      <c r="D22" s="74">
        <f>(D19-D21)/D19*100</f>
        <v>-9.4759845571947259E-3</v>
      </c>
      <c r="E22" s="92" t="s">
        <v>28</v>
      </c>
      <c r="F22" s="89"/>
      <c r="H22" s="91"/>
    </row>
    <row r="23" spans="1:8" x14ac:dyDescent="0.2">
      <c r="F23" s="89"/>
      <c r="H23" s="91"/>
    </row>
    <row r="24" spans="1:8" x14ac:dyDescent="0.2">
      <c r="F24" s="89"/>
      <c r="H24" s="91"/>
    </row>
    <row r="26" spans="1:8" ht="15.75" customHeight="1" x14ac:dyDescent="0.2">
      <c r="C26" s="89"/>
      <c r="D26" s="89"/>
      <c r="E26" s="89"/>
      <c r="F26" s="89"/>
    </row>
    <row r="27" spans="1:8" x14ac:dyDescent="0.2">
      <c r="B27" s="90"/>
      <c r="C27" s="89"/>
    </row>
    <row r="29" spans="1:8" x14ac:dyDescent="0.2">
      <c r="F29" s="88"/>
    </row>
    <row r="30" spans="1:8" x14ac:dyDescent="0.2">
      <c r="F30" s="88"/>
    </row>
  </sheetData>
  <mergeCells count="5">
    <mergeCell ref="A1:F1"/>
    <mergeCell ref="A2:F2"/>
    <mergeCell ref="D4:F4"/>
    <mergeCell ref="C8:D8"/>
    <mergeCell ref="C18:D18"/>
  </mergeCells>
  <pageMargins left="0.99" right="0.4" top="0.96" bottom="0.71" header="0.25" footer="0.5"/>
  <pageSetup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activeCell="D20" sqref="D20"/>
    </sheetView>
  </sheetViews>
  <sheetFormatPr defaultRowHeight="12.75" x14ac:dyDescent="0.2"/>
  <cols>
    <col min="1" max="1" width="29.28515625" style="87" customWidth="1"/>
    <col min="2" max="2" width="14.85546875" style="87" customWidth="1"/>
    <col min="3" max="3" width="8.7109375" style="87" customWidth="1"/>
    <col min="4" max="4" width="12.85546875" style="87" customWidth="1"/>
    <col min="5" max="5" width="13.28515625" style="87" customWidth="1"/>
    <col min="6" max="6" width="8.7109375" style="87" customWidth="1"/>
    <col min="7" max="7" width="10.85546875" style="87" customWidth="1"/>
    <col min="8" max="16384" width="9.140625" style="87"/>
  </cols>
  <sheetData>
    <row r="1" spans="1:8" ht="15" customHeight="1" x14ac:dyDescent="0.2">
      <c r="A1" s="137" t="s">
        <v>2</v>
      </c>
      <c r="B1" s="137"/>
      <c r="C1" s="137"/>
      <c r="D1" s="137"/>
      <c r="E1" s="137"/>
      <c r="F1" s="137"/>
    </row>
    <row r="2" spans="1:8" ht="18.75" customHeight="1" thickBot="1" x14ac:dyDescent="0.25">
      <c r="A2" s="137" t="s">
        <v>3</v>
      </c>
      <c r="B2" s="137"/>
      <c r="C2" s="137"/>
      <c r="D2" s="137"/>
      <c r="E2" s="137"/>
      <c r="F2" s="137"/>
    </row>
    <row r="3" spans="1:8" ht="18.75" customHeight="1" x14ac:dyDescent="0.25">
      <c r="A3" s="75" t="s">
        <v>50</v>
      </c>
      <c r="B3" s="118"/>
      <c r="C3" s="118"/>
      <c r="D3" s="118"/>
      <c r="E3" s="118"/>
      <c r="F3" s="117"/>
    </row>
    <row r="4" spans="1:8" ht="15" customHeight="1" x14ac:dyDescent="0.25">
      <c r="A4" s="116" t="s">
        <v>8</v>
      </c>
      <c r="B4" s="76">
        <v>41871.489583333336</v>
      </c>
      <c r="C4" s="115" t="s">
        <v>19</v>
      </c>
      <c r="D4" s="133" t="s">
        <v>49</v>
      </c>
      <c r="E4" s="133"/>
      <c r="F4" s="134"/>
    </row>
    <row r="5" spans="1:8" ht="13.5" customHeight="1" x14ac:dyDescent="0.2">
      <c r="A5" s="97" t="s">
        <v>23</v>
      </c>
      <c r="B5" s="108" t="s">
        <v>21</v>
      </c>
      <c r="C5" s="108"/>
      <c r="D5" s="96"/>
      <c r="E5" s="114">
        <f>B4-(6/24)</f>
        <v>41871.239583333336</v>
      </c>
      <c r="F5" s="113" t="s">
        <v>20</v>
      </c>
    </row>
    <row r="6" spans="1:8" ht="17.25" thickBot="1" x14ac:dyDescent="0.3">
      <c r="A6" s="94" t="s">
        <v>4</v>
      </c>
      <c r="B6" s="77">
        <v>465.61</v>
      </c>
      <c r="C6" s="105" t="s">
        <v>7</v>
      </c>
      <c r="D6" s="78">
        <f>B6*110</f>
        <v>51217.1</v>
      </c>
      <c r="E6" s="112" t="s">
        <v>9</v>
      </c>
      <c r="F6" s="111"/>
    </row>
    <row r="7" spans="1:8" ht="13.5" thickBot="1" x14ac:dyDescent="0.25">
      <c r="B7" s="98"/>
      <c r="C7" s="89"/>
      <c r="D7" s="98"/>
      <c r="E7" s="104"/>
      <c r="F7" s="89"/>
      <c r="G7" s="110" t="s">
        <v>43</v>
      </c>
      <c r="H7" s="91"/>
    </row>
    <row r="8" spans="1:8" ht="15" x14ac:dyDescent="0.25">
      <c r="A8" s="103" t="s">
        <v>22</v>
      </c>
      <c r="B8" s="109" t="s">
        <v>8</v>
      </c>
      <c r="C8" s="135">
        <v>41886.6875</v>
      </c>
      <c r="D8" s="135"/>
      <c r="E8" s="101"/>
      <c r="F8" s="89"/>
      <c r="G8" s="103" t="s">
        <v>39</v>
      </c>
      <c r="H8" s="84">
        <v>22.4</v>
      </c>
    </row>
    <row r="9" spans="1:8" ht="15" x14ac:dyDescent="0.25">
      <c r="A9" s="100"/>
      <c r="B9" s="98" t="s">
        <v>32</v>
      </c>
      <c r="C9" s="79">
        <f>H10</f>
        <v>1.0054571389543878</v>
      </c>
      <c r="D9" s="108"/>
      <c r="E9" s="95"/>
      <c r="F9" s="89"/>
      <c r="G9" s="97" t="s">
        <v>40</v>
      </c>
      <c r="H9" s="85">
        <v>756.9</v>
      </c>
    </row>
    <row r="10" spans="1:8" ht="15.75" thickBot="1" x14ac:dyDescent="0.3">
      <c r="A10" s="100"/>
      <c r="B10" s="98" t="s">
        <v>33</v>
      </c>
      <c r="C10" s="80">
        <v>1.0007999999999999</v>
      </c>
      <c r="D10" s="108"/>
      <c r="E10" s="95"/>
      <c r="F10" s="89"/>
      <c r="G10" s="107" t="s">
        <v>41</v>
      </c>
      <c r="H10" s="86">
        <f>((H8+273)*760)/(H9*295)</f>
        <v>1.0054571389543878</v>
      </c>
    </row>
    <row r="11" spans="1:8" ht="16.5" x14ac:dyDescent="0.25">
      <c r="A11" s="100"/>
      <c r="B11" s="98" t="s">
        <v>25</v>
      </c>
      <c r="C11" s="81">
        <v>463.1</v>
      </c>
      <c r="D11" s="104" t="s">
        <v>34</v>
      </c>
      <c r="E11" s="95"/>
      <c r="F11" s="89"/>
      <c r="H11" s="91"/>
    </row>
    <row r="12" spans="1:8" ht="15" x14ac:dyDescent="0.25">
      <c r="A12" s="100"/>
      <c r="B12" s="98" t="s">
        <v>24</v>
      </c>
      <c r="C12" s="82">
        <v>-94.519000000000005</v>
      </c>
      <c r="D12" s="87" t="s">
        <v>27</v>
      </c>
      <c r="E12" s="95"/>
      <c r="F12" s="89"/>
      <c r="H12" s="91"/>
    </row>
    <row r="13" spans="1:8" ht="16.5" x14ac:dyDescent="0.25">
      <c r="A13" s="97" t="s">
        <v>26</v>
      </c>
      <c r="B13" s="98"/>
      <c r="C13" s="89"/>
      <c r="D13" s="83">
        <f>-C12*C11*C10*C9</f>
        <v>44045.825909956693</v>
      </c>
      <c r="E13" s="95" t="s">
        <v>9</v>
      </c>
      <c r="F13" s="89"/>
      <c r="H13" s="91"/>
    </row>
    <row r="14" spans="1:8" x14ac:dyDescent="0.2">
      <c r="A14" s="100"/>
      <c r="B14" s="87" t="s">
        <v>5</v>
      </c>
      <c r="C14" s="99">
        <f>EXP(-0.693*(C8-E5)/73.831)</f>
        <v>0.86502333292838041</v>
      </c>
      <c r="D14" s="98"/>
      <c r="E14" s="95"/>
      <c r="F14" s="89"/>
      <c r="H14" s="91"/>
    </row>
    <row r="15" spans="1:8" ht="16.5" x14ac:dyDescent="0.25">
      <c r="A15" s="97" t="s">
        <v>29</v>
      </c>
      <c r="B15" s="98"/>
      <c r="C15" s="89"/>
      <c r="D15" s="83">
        <f>B6*C14*110</f>
        <v>44303.986544926156</v>
      </c>
      <c r="E15" s="95" t="s">
        <v>9</v>
      </c>
      <c r="F15" s="89"/>
      <c r="H15" s="91"/>
    </row>
    <row r="16" spans="1:8" ht="15.75" thickBot="1" x14ac:dyDescent="0.3">
      <c r="A16" s="94"/>
      <c r="B16" s="106"/>
      <c r="C16" s="105"/>
      <c r="D16" s="74">
        <f>(D13-D15)/D13*100</f>
        <v>-0.58611827485588142</v>
      </c>
      <c r="E16" s="92" t="s">
        <v>28</v>
      </c>
      <c r="F16" s="89"/>
      <c r="H16" s="91"/>
    </row>
    <row r="17" spans="1:8" ht="13.5" thickBot="1" x14ac:dyDescent="0.25">
      <c r="B17" s="98"/>
      <c r="C17" s="89"/>
      <c r="D17" s="98"/>
      <c r="E17" s="104"/>
      <c r="F17" s="89"/>
      <c r="H17" s="91"/>
    </row>
    <row r="18" spans="1:8" ht="15" x14ac:dyDescent="0.25">
      <c r="A18" s="103" t="s">
        <v>1</v>
      </c>
      <c r="B18" s="102" t="s">
        <v>8</v>
      </c>
      <c r="C18" s="136">
        <f>C8</f>
        <v>41886.6875</v>
      </c>
      <c r="D18" s="136"/>
      <c r="E18" s="101"/>
      <c r="F18" s="89"/>
      <c r="H18" s="91"/>
    </row>
    <row r="19" spans="1:8" ht="16.5" x14ac:dyDescent="0.25">
      <c r="A19" s="97" t="s">
        <v>31</v>
      </c>
      <c r="B19" s="98"/>
      <c r="C19" s="89"/>
      <c r="D19" s="81">
        <v>44298.12</v>
      </c>
      <c r="E19" s="95" t="s">
        <v>9</v>
      </c>
      <c r="F19" s="89"/>
      <c r="H19" s="91"/>
    </row>
    <row r="20" spans="1:8" x14ac:dyDescent="0.2">
      <c r="A20" s="100"/>
      <c r="B20" s="87" t="s">
        <v>5</v>
      </c>
      <c r="C20" s="99">
        <f>EXP(-0.693*(C18-E5)/73.831)</f>
        <v>0.86502333292838041</v>
      </c>
      <c r="D20" s="98"/>
      <c r="E20" s="95"/>
      <c r="F20" s="89"/>
      <c r="H20" s="91"/>
    </row>
    <row r="21" spans="1:8" ht="16.5" x14ac:dyDescent="0.25">
      <c r="A21" s="97" t="s">
        <v>29</v>
      </c>
      <c r="B21" s="96"/>
      <c r="C21" s="89"/>
      <c r="D21" s="83">
        <f>B6*C20*110</f>
        <v>44303.986544926156</v>
      </c>
      <c r="E21" s="95" t="s">
        <v>9</v>
      </c>
      <c r="F21" s="89"/>
      <c r="H21" s="91"/>
    </row>
    <row r="22" spans="1:8" ht="15.75" thickBot="1" x14ac:dyDescent="0.3">
      <c r="A22" s="94"/>
      <c r="B22" s="93"/>
      <c r="C22" s="93"/>
      <c r="D22" s="74">
        <f>(D19-D21)/D19*100</f>
        <v>-1.3243327089622399E-2</v>
      </c>
      <c r="E22" s="92" t="s">
        <v>28</v>
      </c>
      <c r="F22" s="89"/>
      <c r="H22" s="91"/>
    </row>
    <row r="23" spans="1:8" x14ac:dyDescent="0.2">
      <c r="F23" s="89"/>
      <c r="H23" s="91"/>
    </row>
    <row r="24" spans="1:8" x14ac:dyDescent="0.2">
      <c r="F24" s="89"/>
      <c r="H24" s="91"/>
    </row>
    <row r="26" spans="1:8" ht="15.75" customHeight="1" x14ac:dyDescent="0.2">
      <c r="C26" s="89"/>
      <c r="D26" s="89"/>
      <c r="E26" s="89"/>
      <c r="F26" s="89"/>
    </row>
    <row r="27" spans="1:8" x14ac:dyDescent="0.2">
      <c r="B27" s="90"/>
      <c r="C27" s="89"/>
    </row>
    <row r="29" spans="1:8" x14ac:dyDescent="0.2">
      <c r="F29" s="88"/>
    </row>
    <row r="30" spans="1:8" x14ac:dyDescent="0.2">
      <c r="F30" s="88"/>
    </row>
  </sheetData>
  <mergeCells count="5">
    <mergeCell ref="A1:F1"/>
    <mergeCell ref="A2:F2"/>
    <mergeCell ref="D4:F4"/>
    <mergeCell ref="C8:D8"/>
    <mergeCell ref="C18:D18"/>
  </mergeCells>
  <pageMargins left="0.99" right="0.4" top="0.96" bottom="0.71" header="0.25" footer="0.5"/>
  <pageSetup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tabSelected="1" workbookViewId="0">
      <selection activeCell="D20" sqref="D20"/>
    </sheetView>
  </sheetViews>
  <sheetFormatPr defaultRowHeight="12.75" x14ac:dyDescent="0.2"/>
  <cols>
    <col min="1" max="1" width="29.28515625" style="87" customWidth="1"/>
    <col min="2" max="2" width="14.85546875" style="87" customWidth="1"/>
    <col min="3" max="3" width="8.7109375" style="87" customWidth="1"/>
    <col min="4" max="4" width="12.85546875" style="87" customWidth="1"/>
    <col min="5" max="5" width="13.28515625" style="87" customWidth="1"/>
    <col min="6" max="6" width="8.7109375" style="87" customWidth="1"/>
    <col min="7" max="7" width="10.85546875" style="87" customWidth="1"/>
    <col min="8" max="16384" width="9.140625" style="87"/>
  </cols>
  <sheetData>
    <row r="1" spans="1:8" ht="15" customHeight="1" x14ac:dyDescent="0.2">
      <c r="A1" s="137" t="s">
        <v>2</v>
      </c>
      <c r="B1" s="137"/>
      <c r="C1" s="137"/>
      <c r="D1" s="137"/>
      <c r="E1" s="137"/>
      <c r="F1" s="137"/>
    </row>
    <row r="2" spans="1:8" ht="18.75" customHeight="1" thickBot="1" x14ac:dyDescent="0.25">
      <c r="A2" s="137" t="s">
        <v>3</v>
      </c>
      <c r="B2" s="137"/>
      <c r="C2" s="137"/>
      <c r="D2" s="137"/>
      <c r="E2" s="137"/>
      <c r="F2" s="137"/>
    </row>
    <row r="3" spans="1:8" ht="18.75" customHeight="1" x14ac:dyDescent="0.25">
      <c r="A3" s="75" t="s">
        <v>51</v>
      </c>
      <c r="B3" s="118"/>
      <c r="C3" s="118"/>
      <c r="D3" s="118"/>
      <c r="E3" s="118"/>
      <c r="F3" s="117"/>
    </row>
    <row r="4" spans="1:8" ht="15" customHeight="1" x14ac:dyDescent="0.25">
      <c r="A4" s="116" t="s">
        <v>8</v>
      </c>
      <c r="B4" s="76">
        <v>42970.168749999997</v>
      </c>
      <c r="C4" s="115" t="s">
        <v>19</v>
      </c>
      <c r="D4" s="133" t="s">
        <v>49</v>
      </c>
      <c r="E4" s="133"/>
      <c r="F4" s="134"/>
    </row>
    <row r="5" spans="1:8" ht="13.5" customHeight="1" x14ac:dyDescent="0.2">
      <c r="A5" s="97" t="s">
        <v>23</v>
      </c>
      <c r="B5" s="108" t="s">
        <v>21</v>
      </c>
      <c r="C5" s="108"/>
      <c r="D5" s="96"/>
      <c r="E5" s="114">
        <f>B4-(6/24)</f>
        <v>42969.918749999997</v>
      </c>
      <c r="F5" s="113" t="s">
        <v>20</v>
      </c>
    </row>
    <row r="6" spans="1:8" ht="17.25" thickBot="1" x14ac:dyDescent="0.3">
      <c r="A6" s="94" t="s">
        <v>4</v>
      </c>
      <c r="B6" s="77">
        <v>455.5</v>
      </c>
      <c r="C6" s="105" t="s">
        <v>7</v>
      </c>
      <c r="D6" s="78">
        <f>B6*110</f>
        <v>50105</v>
      </c>
      <c r="E6" s="112" t="s">
        <v>9</v>
      </c>
      <c r="F6" s="111"/>
    </row>
    <row r="7" spans="1:8" ht="13.5" thickBot="1" x14ac:dyDescent="0.25">
      <c r="B7" s="98"/>
      <c r="C7" s="89"/>
      <c r="D7" s="98"/>
      <c r="E7" s="104"/>
      <c r="F7" s="89"/>
      <c r="G7" s="110" t="s">
        <v>43</v>
      </c>
      <c r="H7" s="91"/>
    </row>
    <row r="8" spans="1:8" ht="15" x14ac:dyDescent="0.25">
      <c r="A8" s="103" t="s">
        <v>22</v>
      </c>
      <c r="B8" s="109" t="s">
        <v>8</v>
      </c>
      <c r="C8" s="135">
        <v>42985.6875</v>
      </c>
      <c r="D8" s="135"/>
      <c r="E8" s="101"/>
      <c r="F8" s="89"/>
      <c r="G8" s="103" t="s">
        <v>39</v>
      </c>
      <c r="H8" s="84">
        <v>22</v>
      </c>
    </row>
    <row r="9" spans="1:8" ht="15" x14ac:dyDescent="0.25">
      <c r="A9" s="100"/>
      <c r="B9" s="98" t="s">
        <v>32</v>
      </c>
      <c r="C9" s="79">
        <f>H10</f>
        <v>1.0110416389517094</v>
      </c>
      <c r="D9" s="108"/>
      <c r="E9" s="95"/>
      <c r="F9" s="89"/>
      <c r="G9" s="97" t="s">
        <v>40</v>
      </c>
      <c r="H9" s="85">
        <v>751.7</v>
      </c>
    </row>
    <row r="10" spans="1:8" ht="15.75" thickBot="1" x14ac:dyDescent="0.3">
      <c r="A10" s="100"/>
      <c r="B10" s="98" t="s">
        <v>33</v>
      </c>
      <c r="C10" s="80">
        <v>1.0005999999999999</v>
      </c>
      <c r="D10" s="108"/>
      <c r="E10" s="95"/>
      <c r="F10" s="89"/>
      <c r="G10" s="107" t="s">
        <v>41</v>
      </c>
      <c r="H10" s="86">
        <f>((H8+273)*760)/(H9*295)</f>
        <v>1.0110416389517094</v>
      </c>
    </row>
    <row r="11" spans="1:8" ht="16.5" x14ac:dyDescent="0.25">
      <c r="A11" s="100"/>
      <c r="B11" s="98" t="s">
        <v>25</v>
      </c>
      <c r="C11" s="81">
        <v>463.1</v>
      </c>
      <c r="D11" s="104" t="s">
        <v>34</v>
      </c>
      <c r="E11" s="95"/>
      <c r="F11" s="89"/>
      <c r="H11" s="91"/>
    </row>
    <row r="12" spans="1:8" ht="15" x14ac:dyDescent="0.25">
      <c r="A12" s="100"/>
      <c r="B12" s="98" t="s">
        <v>24</v>
      </c>
      <c r="C12" s="82">
        <v>-91.260999999999996</v>
      </c>
      <c r="D12" s="87" t="s">
        <v>27</v>
      </c>
      <c r="E12" s="95"/>
      <c r="F12" s="89"/>
      <c r="H12" s="91"/>
    </row>
    <row r="13" spans="1:8" ht="16.5" x14ac:dyDescent="0.25">
      <c r="A13" s="97" t="s">
        <v>26</v>
      </c>
      <c r="B13" s="98"/>
      <c r="C13" s="89"/>
      <c r="D13" s="83">
        <f>-C12*C11*C10*C9</f>
        <v>42755.259318756951</v>
      </c>
      <c r="E13" s="95" t="s">
        <v>9</v>
      </c>
      <c r="F13" s="89"/>
      <c r="H13" s="91"/>
    </row>
    <row r="14" spans="1:8" x14ac:dyDescent="0.2">
      <c r="A14" s="100"/>
      <c r="B14" s="87" t="s">
        <v>5</v>
      </c>
      <c r="C14" s="99">
        <f>EXP(-0.693*(C8-E5)/73.831)</f>
        <v>0.86242228695676859</v>
      </c>
      <c r="D14" s="98"/>
      <c r="E14" s="95"/>
      <c r="F14" s="89"/>
      <c r="H14" s="91"/>
    </row>
    <row r="15" spans="1:8" ht="16.5" x14ac:dyDescent="0.25">
      <c r="A15" s="97" t="s">
        <v>29</v>
      </c>
      <c r="B15" s="98"/>
      <c r="C15" s="89"/>
      <c r="D15" s="83">
        <f>B6*C14*110</f>
        <v>43211.668687968893</v>
      </c>
      <c r="E15" s="95" t="s">
        <v>9</v>
      </c>
      <c r="F15" s="89"/>
      <c r="H15" s="91"/>
    </row>
    <row r="16" spans="1:8" ht="15.75" thickBot="1" x14ac:dyDescent="0.3">
      <c r="A16" s="94"/>
      <c r="B16" s="106"/>
      <c r="C16" s="105"/>
      <c r="D16" s="74">
        <f>(D13-D15)/D13*100</f>
        <v>-1.0674929271489955</v>
      </c>
      <c r="E16" s="92" t="s">
        <v>28</v>
      </c>
      <c r="F16" s="89"/>
      <c r="H16" s="91"/>
    </row>
    <row r="17" spans="1:8" ht="13.5" thickBot="1" x14ac:dyDescent="0.25">
      <c r="B17" s="98"/>
      <c r="C17" s="89"/>
      <c r="D17" s="98"/>
      <c r="E17" s="104"/>
      <c r="F17" s="89"/>
      <c r="H17" s="91"/>
    </row>
    <row r="18" spans="1:8" ht="15" x14ac:dyDescent="0.25">
      <c r="A18" s="103" t="s">
        <v>1</v>
      </c>
      <c r="B18" s="102" t="s">
        <v>8</v>
      </c>
      <c r="C18" s="136">
        <f>C8</f>
        <v>42985.6875</v>
      </c>
      <c r="D18" s="136"/>
      <c r="E18" s="101"/>
      <c r="F18" s="89"/>
      <c r="H18" s="91"/>
    </row>
    <row r="19" spans="1:8" ht="16.5" x14ac:dyDescent="0.25">
      <c r="A19" s="97" t="s">
        <v>31</v>
      </c>
      <c r="B19" s="98"/>
      <c r="C19" s="89"/>
      <c r="D19" s="81">
        <v>43230</v>
      </c>
      <c r="E19" s="95" t="s">
        <v>9</v>
      </c>
      <c r="F19" s="89"/>
      <c r="H19" s="91"/>
    </row>
    <row r="20" spans="1:8" x14ac:dyDescent="0.2">
      <c r="A20" s="100"/>
      <c r="B20" s="87" t="s">
        <v>5</v>
      </c>
      <c r="C20" s="99">
        <f>EXP(-0.693*(C18-E5)/73.831)</f>
        <v>0.86242228695676859</v>
      </c>
      <c r="D20" s="98"/>
      <c r="E20" s="95"/>
      <c r="F20" s="89"/>
      <c r="H20" s="91"/>
    </row>
    <row r="21" spans="1:8" ht="16.5" x14ac:dyDescent="0.25">
      <c r="A21" s="97" t="s">
        <v>29</v>
      </c>
      <c r="B21" s="96"/>
      <c r="C21" s="89"/>
      <c r="D21" s="83">
        <f>B6*C20*110</f>
        <v>43211.668687968893</v>
      </c>
      <c r="E21" s="95" t="s">
        <v>9</v>
      </c>
      <c r="F21" s="89"/>
      <c r="H21" s="91"/>
    </row>
    <row r="22" spans="1:8" ht="15.75" thickBot="1" x14ac:dyDescent="0.3">
      <c r="A22" s="94"/>
      <c r="B22" s="93"/>
      <c r="C22" s="93"/>
      <c r="D22" s="74">
        <f>(D19-D21)/D19*100</f>
        <v>4.2404145341445265E-2</v>
      </c>
      <c r="E22" s="92" t="s">
        <v>28</v>
      </c>
      <c r="F22" s="89"/>
      <c r="H22" s="91"/>
    </row>
    <row r="23" spans="1:8" x14ac:dyDescent="0.2">
      <c r="F23" s="89"/>
      <c r="H23" s="91"/>
    </row>
    <row r="24" spans="1:8" x14ac:dyDescent="0.2">
      <c r="F24" s="89"/>
      <c r="H24" s="91"/>
    </row>
    <row r="26" spans="1:8" ht="15.75" customHeight="1" x14ac:dyDescent="0.2">
      <c r="C26" s="89"/>
      <c r="D26" s="89"/>
      <c r="E26" s="89"/>
      <c r="F26" s="89"/>
    </row>
    <row r="27" spans="1:8" x14ac:dyDescent="0.2">
      <c r="B27" s="90"/>
      <c r="C27" s="89"/>
    </row>
    <row r="29" spans="1:8" x14ac:dyDescent="0.2">
      <c r="F29" s="88"/>
    </row>
    <row r="30" spans="1:8" x14ac:dyDescent="0.2">
      <c r="F30" s="88"/>
    </row>
  </sheetData>
  <mergeCells count="5">
    <mergeCell ref="A1:F1"/>
    <mergeCell ref="A2:F2"/>
    <mergeCell ref="D4:F4"/>
    <mergeCell ref="C8:D8"/>
    <mergeCell ref="C18:D18"/>
  </mergeCells>
  <pageMargins left="0.99" right="0.4" top="0.96" bottom="0.71" header="0.2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18th December 2008</vt:lpstr>
      <vt:lpstr>4th  Feb 2010</vt:lpstr>
      <vt:lpstr>September 10 2010</vt:lpstr>
      <vt:lpstr>December 6 2010</vt:lpstr>
      <vt:lpstr>Feb 24 2011</vt:lpstr>
      <vt:lpstr>Sept 7 2011</vt:lpstr>
      <vt:lpstr>Dec 2 2011</vt:lpstr>
      <vt:lpstr>Sept 10 2012</vt:lpstr>
      <vt:lpstr>June 18 2013</vt:lpstr>
      <vt:lpstr>Dec 16 2013</vt:lpstr>
      <vt:lpstr>Sept 5 2014</vt:lpstr>
      <vt:lpstr>Sept 7 2017</vt:lpstr>
      <vt:lpstr>'18th December 2008'!Print_Area</vt:lpstr>
      <vt:lpstr>'4th  Feb 2010'!Print_Area</vt:lpstr>
      <vt:lpstr>'Dec 16 2013'!Print_Area</vt:lpstr>
      <vt:lpstr>'Dec 2 2011'!Print_Area</vt:lpstr>
      <vt:lpstr>'December 6 2010'!Print_Area</vt:lpstr>
      <vt:lpstr>'Feb 24 2011'!Print_Area</vt:lpstr>
      <vt:lpstr>'June 18 2013'!Print_Area</vt:lpstr>
      <vt:lpstr>'Sept 10 2012'!Print_Area</vt:lpstr>
      <vt:lpstr>'Sept 5 2014'!Print_Area</vt:lpstr>
      <vt:lpstr>'Sept 7 2011'!Print_Area</vt:lpstr>
      <vt:lpstr>'Sept 7 2017'!Print_Area</vt:lpstr>
      <vt:lpstr>'September 10 2010'!Print_Area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Salomons, Greg</cp:lastModifiedBy>
  <cp:lastPrinted>2017-09-08T12:22:50Z</cp:lastPrinted>
  <dcterms:created xsi:type="dcterms:W3CDTF">2002-07-03T17:20:21Z</dcterms:created>
  <dcterms:modified xsi:type="dcterms:W3CDTF">2017-09-08T12:23:02Z</dcterms:modified>
</cp:coreProperties>
</file>