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4400" windowHeight="11595" activeTab="1"/>
  </bookViews>
  <sheets>
    <sheet name="Reference Sheet Check" sheetId="1" r:id="rId1"/>
    <sheet name="Check of Specific Date &amp; time" sheetId="2" r:id="rId2"/>
  </sheets>
  <calcPr calcId="145621"/>
</workbook>
</file>

<file path=xl/calcChain.xml><?xml version="1.0" encoding="utf-8"?>
<calcChain xmlns="http://schemas.openxmlformats.org/spreadsheetml/2006/main">
  <c r="E9" i="1" l="1"/>
  <c r="A11" i="2" l="1"/>
  <c r="A10" i="2"/>
  <c r="A8" i="2"/>
  <c r="A3" i="2"/>
  <c r="A4" i="2"/>
  <c r="A5" i="2"/>
  <c r="A2" i="2"/>
  <c r="E9" i="2" l="1"/>
  <c r="A9" i="2"/>
  <c r="F8" i="2" s="1"/>
  <c r="G8" i="2" s="1"/>
  <c r="A9" i="1"/>
  <c r="E11" i="1"/>
  <c r="E12" i="1"/>
  <c r="E13" i="1"/>
  <c r="E14" i="1"/>
  <c r="E15" i="1"/>
  <c r="E16" i="1"/>
  <c r="F16" i="1" s="1"/>
  <c r="G16" i="1" s="1"/>
  <c r="E17" i="1"/>
  <c r="E18" i="1"/>
  <c r="E10" i="1"/>
  <c r="F13" i="1" l="1"/>
  <c r="G13" i="1" s="1"/>
  <c r="F9" i="1"/>
  <c r="G9" i="1" s="1"/>
  <c r="F9" i="2"/>
  <c r="G9" i="2" s="1"/>
  <c r="F10" i="1"/>
  <c r="G10" i="1" s="1"/>
  <c r="F17" i="1"/>
  <c r="G17" i="1" s="1"/>
  <c r="F12" i="1"/>
  <c r="G12" i="1" s="1"/>
  <c r="F8" i="1"/>
  <c r="G8" i="1" s="1"/>
  <c r="F15" i="1"/>
  <c r="G15" i="1" s="1"/>
  <c r="F11" i="1"/>
  <c r="G11" i="1" s="1"/>
  <c r="F18" i="1"/>
  <c r="G18" i="1" s="1"/>
  <c r="F14" i="1"/>
  <c r="G14" i="1" s="1"/>
</calcChain>
</file>

<file path=xl/sharedStrings.xml><?xml version="1.0" encoding="utf-8"?>
<sst xmlns="http://schemas.openxmlformats.org/spreadsheetml/2006/main" count="47" uniqueCount="26">
  <si>
    <t>Manufacturer's source strength on</t>
  </si>
  <si>
    <t>Date and Time:</t>
  </si>
  <si>
    <t>Decay Factor</t>
  </si>
  <si>
    <t>Activity at present</t>
  </si>
  <si>
    <t>GBq</t>
  </si>
  <si>
    <t>(Holand)</t>
  </si>
  <si>
    <t>(Here)</t>
  </si>
  <si>
    <r>
      <t>U (mGy 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h</t>
    </r>
    <r>
      <rPr>
        <vertAlign val="superscript"/>
        <sz val="10"/>
        <rFont val="Arial"/>
        <family val="2"/>
      </rPr>
      <t>-1</t>
    </r>
    <r>
      <rPr>
        <sz val="10"/>
        <rFont val="Arial"/>
        <family val="2"/>
      </rPr>
      <t>)</t>
    </r>
  </si>
  <si>
    <t>First</t>
  </si>
  <si>
    <t>Last</t>
  </si>
  <si>
    <t>Day 10</t>
  </si>
  <si>
    <t>Day 30</t>
  </si>
  <si>
    <t>Day 90</t>
  </si>
  <si>
    <t>Day 60</t>
  </si>
  <si>
    <t>Day 20</t>
  </si>
  <si>
    <t>Day 41</t>
  </si>
  <si>
    <t>Day 71</t>
  </si>
  <si>
    <t>Day 101</t>
  </si>
  <si>
    <t>Day 111</t>
  </si>
  <si>
    <t>Iridium-192 HDR Brachytherapy Source Check of Decay Chart</t>
  </si>
  <si>
    <t>Now</t>
  </si>
  <si>
    <t>Specific Date &amp; Time</t>
  </si>
  <si>
    <t>Manufacurer's Calibration:455.7GBq @20:58 CET on 21 Feb 2018</t>
  </si>
  <si>
    <t>Flexisource No.:  NLF 01 D85E-2431</t>
  </si>
  <si>
    <t>CCSEO Batch Number: 39</t>
  </si>
  <si>
    <t>Date of source installation @ CCSEO: Mar 12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</si>
</sst>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m/d/yy\ h:mm;@"/>
  </numFmts>
  <fonts count="12" x14ac:knownFonts="1">
    <font>
      <sz val="10"/>
      <name val="Arial"/>
    </font>
    <font>
      <sz val="9"/>
      <name val="Times New Roman"/>
      <family val="1"/>
    </font>
    <font>
      <b/>
      <sz val="10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  <font>
      <b/>
      <sz val="12"/>
      <name val="Times New Roman"/>
      <family val="1"/>
    </font>
    <font>
      <b/>
      <u/>
      <sz val="12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/>
      <bottom style="thin">
        <color rgb="FF7F7F7F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1" fillId="4" borderId="14" applyNumberFormat="0" applyAlignment="0" applyProtection="0"/>
    <xf numFmtId="0" fontId="9" fillId="2" borderId="0" applyNumberFormat="0" applyBorder="0" applyAlignment="0" applyProtection="0"/>
    <xf numFmtId="0" fontId="10" fillId="3" borderId="14" applyNumberFormat="0" applyAlignment="0" applyProtection="0"/>
  </cellStyleXfs>
  <cellXfs count="45">
    <xf numFmtId="0" fontId="0" fillId="0" borderId="0" xfId="0"/>
    <xf numFmtId="0" fontId="4" fillId="0" borderId="3" xfId="0" applyFont="1" applyBorder="1"/>
    <xf numFmtId="164" fontId="4" fillId="0" borderId="4" xfId="0" applyNumberFormat="1" applyFont="1" applyFill="1" applyBorder="1" applyAlignment="1" applyProtection="1">
      <alignment horizontal="center"/>
    </xf>
    <xf numFmtId="0" fontId="4" fillId="0" borderId="5" xfId="0" applyFont="1" applyFill="1" applyBorder="1" applyAlignment="1" applyProtection="1"/>
    <xf numFmtId="164" fontId="1" fillId="0" borderId="0" xfId="0" applyNumberFormat="1" applyFont="1" applyFill="1" applyBorder="1" applyAlignment="1" applyProtection="1">
      <alignment horizontal="center"/>
    </xf>
    <xf numFmtId="165" fontId="4" fillId="0" borderId="0" xfId="0" applyNumberFormat="1" applyFont="1" applyFill="1" applyBorder="1" applyAlignment="1" applyProtection="1">
      <protection locked="0"/>
    </xf>
    <xf numFmtId="0" fontId="4" fillId="0" borderId="0" xfId="0" applyFont="1" applyBorder="1"/>
    <xf numFmtId="0" fontId="4" fillId="0" borderId="0" xfId="0" applyFont="1" applyFill="1" applyBorder="1" applyAlignment="1" applyProtection="1">
      <alignment horizontal="left"/>
    </xf>
    <xf numFmtId="0" fontId="7" fillId="0" borderId="0" xfId="0" applyFont="1"/>
    <xf numFmtId="0" fontId="8" fillId="0" borderId="0" xfId="0" applyFont="1"/>
    <xf numFmtId="0" fontId="2" fillId="0" borderId="7" xfId="0" applyFont="1" applyFill="1" applyBorder="1" applyAlignment="1" applyProtection="1">
      <alignment horizontal="center"/>
    </xf>
    <xf numFmtId="0" fontId="2" fillId="0" borderId="8" xfId="0" applyFont="1" applyFill="1" applyBorder="1" applyAlignment="1" applyProtection="1">
      <alignment horizontal="center"/>
    </xf>
    <xf numFmtId="0" fontId="4" fillId="0" borderId="10" xfId="0" applyFont="1" applyFill="1" applyBorder="1" applyAlignment="1" applyProtection="1">
      <alignment horizontal="left"/>
    </xf>
    <xf numFmtId="165" fontId="5" fillId="0" borderId="6" xfId="0" applyNumberFormat="1" applyFont="1" applyFill="1" applyBorder="1" applyAlignment="1" applyProtection="1">
      <alignment horizontal="center"/>
    </xf>
    <xf numFmtId="165" fontId="10" fillId="3" borderId="16" xfId="3" applyNumberFormat="1" applyBorder="1" applyAlignment="1" applyProtection="1">
      <alignment horizontal="center"/>
      <protection locked="0"/>
    </xf>
    <xf numFmtId="0" fontId="2" fillId="0" borderId="15" xfId="0" applyFont="1" applyFill="1" applyBorder="1" applyAlignment="1" applyProtection="1">
      <alignment horizontal="center"/>
    </xf>
    <xf numFmtId="165" fontId="10" fillId="3" borderId="18" xfId="3" applyNumberFormat="1" applyBorder="1" applyAlignment="1" applyProtection="1">
      <alignment horizontal="center"/>
      <protection locked="0"/>
    </xf>
    <xf numFmtId="165" fontId="11" fillId="4" borderId="18" xfId="1" applyNumberFormat="1" applyBorder="1" applyAlignment="1" applyProtection="1">
      <alignment horizontal="center"/>
    </xf>
    <xf numFmtId="165" fontId="11" fillId="4" borderId="19" xfId="1" applyNumberFormat="1" applyBorder="1" applyAlignment="1" applyProtection="1">
      <alignment horizontal="center"/>
    </xf>
    <xf numFmtId="0" fontId="2" fillId="0" borderId="20" xfId="0" applyFont="1" applyFill="1" applyBorder="1" applyAlignment="1" applyProtection="1">
      <alignment horizontal="center"/>
    </xf>
    <xf numFmtId="164" fontId="11" fillId="4" borderId="21" xfId="1" applyNumberFormat="1" applyBorder="1" applyAlignment="1" applyProtection="1">
      <alignment horizontal="center"/>
    </xf>
    <xf numFmtId="164" fontId="11" fillId="4" borderId="22" xfId="1" applyNumberFormat="1" applyBorder="1" applyAlignment="1" applyProtection="1">
      <alignment horizontal="center"/>
    </xf>
    <xf numFmtId="1" fontId="11" fillId="4" borderId="16" xfId="1" applyNumberFormat="1" applyBorder="1" applyAlignment="1" applyProtection="1">
      <alignment horizontal="center"/>
    </xf>
    <xf numFmtId="1" fontId="11" fillId="4" borderId="17" xfId="1" applyNumberFormat="1" applyBorder="1" applyAlignment="1" applyProtection="1">
      <alignment horizontal="center"/>
    </xf>
    <xf numFmtId="0" fontId="5" fillId="0" borderId="0" xfId="0" applyFont="1"/>
    <xf numFmtId="165" fontId="10" fillId="3" borderId="16" xfId="3" applyNumberFormat="1" applyBorder="1"/>
    <xf numFmtId="0" fontId="10" fillId="3" borderId="17" xfId="3" applyBorder="1" applyAlignment="1" applyProtection="1">
      <alignment horizontal="right"/>
    </xf>
    <xf numFmtId="165" fontId="10" fillId="3" borderId="23" xfId="3" applyNumberFormat="1" applyBorder="1" applyAlignment="1" applyProtection="1">
      <protection locked="0"/>
    </xf>
    <xf numFmtId="165" fontId="4" fillId="0" borderId="24" xfId="0" applyNumberFormat="1" applyFont="1" applyFill="1" applyBorder="1" applyAlignment="1" applyProtection="1">
      <protection locked="0"/>
    </xf>
    <xf numFmtId="165" fontId="4" fillId="0" borderId="25" xfId="0" applyNumberFormat="1" applyFont="1" applyFill="1" applyBorder="1" applyAlignment="1" applyProtection="1"/>
    <xf numFmtId="165" fontId="4" fillId="0" borderId="26" xfId="0" applyNumberFormat="1" applyFont="1" applyFill="1" applyBorder="1" applyAlignment="1" applyProtection="1">
      <protection locked="0"/>
    </xf>
    <xf numFmtId="165" fontId="4" fillId="0" borderId="25" xfId="0" applyNumberFormat="1" applyFont="1" applyBorder="1"/>
    <xf numFmtId="0" fontId="4" fillId="0" borderId="26" xfId="0" applyFont="1" applyBorder="1"/>
    <xf numFmtId="0" fontId="4" fillId="0" borderId="1" xfId="0" applyFont="1" applyFill="1" applyBorder="1" applyAlignment="1" applyProtection="1">
      <alignment horizontal="right"/>
    </xf>
    <xf numFmtId="0" fontId="4" fillId="0" borderId="2" xfId="0" applyFont="1" applyFill="1" applyBorder="1" applyAlignment="1" applyProtection="1">
      <alignment horizontal="left"/>
    </xf>
    <xf numFmtId="0" fontId="4" fillId="0" borderId="10" xfId="0" applyFont="1" applyFill="1" applyBorder="1" applyAlignment="1" applyProtection="1"/>
    <xf numFmtId="1" fontId="9" fillId="2" borderId="4" xfId="2" applyNumberFormat="1" applyBorder="1" applyAlignment="1" applyProtection="1">
      <alignment horizontal="center"/>
    </xf>
    <xf numFmtId="0" fontId="9" fillId="2" borderId="9" xfId="2" applyBorder="1"/>
    <xf numFmtId="0" fontId="2" fillId="0" borderId="7" xfId="0" applyFont="1" applyFill="1" applyBorder="1" applyAlignment="1" applyProtection="1">
      <alignment horizontal="center"/>
    </xf>
    <xf numFmtId="0" fontId="2" fillId="0" borderId="11" xfId="0" applyFont="1" applyFill="1" applyBorder="1" applyAlignment="1" applyProtection="1">
      <alignment horizontal="center"/>
    </xf>
    <xf numFmtId="164" fontId="1" fillId="0" borderId="7" xfId="0" applyNumberFormat="1" applyFont="1" applyFill="1" applyBorder="1" applyAlignment="1" applyProtection="1">
      <alignment horizontal="center"/>
    </xf>
    <xf numFmtId="164" fontId="1" fillId="0" borderId="11" xfId="0" applyNumberFormat="1" applyFont="1" applyFill="1" applyBorder="1" applyAlignment="1" applyProtection="1">
      <alignment horizontal="center"/>
    </xf>
    <xf numFmtId="0" fontId="2" fillId="0" borderId="8" xfId="0" applyFont="1" applyFill="1" applyBorder="1" applyAlignment="1" applyProtection="1">
      <alignment horizontal="center"/>
    </xf>
    <xf numFmtId="164" fontId="1" fillId="0" borderId="12" xfId="0" applyNumberFormat="1" applyFont="1" applyFill="1" applyBorder="1" applyAlignment="1" applyProtection="1">
      <alignment horizontal="center"/>
    </xf>
    <xf numFmtId="164" fontId="1" fillId="0" borderId="13" xfId="0" applyNumberFormat="1" applyFont="1" applyFill="1" applyBorder="1" applyAlignment="1" applyProtection="1">
      <alignment horizontal="center"/>
    </xf>
  </cellXfs>
  <cellStyles count="4">
    <cellStyle name="Calculation" xfId="1" builtinId="22"/>
    <cellStyle name="Good" xfId="2" builtinId="26"/>
    <cellStyle name="Input" xfId="3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>
      <selection activeCell="G18" sqref="G18"/>
    </sheetView>
  </sheetViews>
  <sheetFormatPr defaultRowHeight="12.75" x14ac:dyDescent="0.2"/>
  <cols>
    <col min="1" max="1" width="14.28515625" customWidth="1"/>
    <col min="2" max="3" width="10.7109375" customWidth="1"/>
    <col min="4" max="4" width="12.42578125" bestFit="1" customWidth="1"/>
    <col min="5" max="5" width="14.28515625" customWidth="1"/>
    <col min="6" max="6" width="11.140625" customWidth="1"/>
    <col min="7" max="7" width="9.7109375" customWidth="1"/>
    <col min="8" max="8" width="13.28515625" customWidth="1"/>
  </cols>
  <sheetData>
    <row r="1" spans="1:15" ht="15.75" x14ac:dyDescent="0.25">
      <c r="A1" s="9" t="s">
        <v>19</v>
      </c>
    </row>
    <row r="2" spans="1:15" ht="15.75" x14ac:dyDescent="0.25">
      <c r="A2" s="8" t="s">
        <v>22</v>
      </c>
    </row>
    <row r="3" spans="1:15" ht="15.75" x14ac:dyDescent="0.25">
      <c r="A3" s="8" t="s">
        <v>23</v>
      </c>
      <c r="H3" s="8"/>
    </row>
    <row r="4" spans="1:15" ht="15.75" x14ac:dyDescent="0.25">
      <c r="A4" s="8" t="s">
        <v>24</v>
      </c>
      <c r="B4" s="8"/>
      <c r="F4" s="8"/>
      <c r="G4" s="8"/>
      <c r="I4" s="8"/>
      <c r="J4" s="8"/>
      <c r="K4" s="8"/>
      <c r="M4" s="8"/>
      <c r="O4" s="8"/>
    </row>
    <row r="5" spans="1:15" ht="15.75" x14ac:dyDescent="0.25">
      <c r="A5" s="8" t="s">
        <v>25</v>
      </c>
      <c r="B5" s="8"/>
      <c r="C5" s="8"/>
      <c r="F5" s="8"/>
      <c r="G5" s="8"/>
      <c r="I5" s="8"/>
      <c r="J5" s="8"/>
      <c r="K5" s="8"/>
      <c r="M5" s="8"/>
      <c r="O5" s="8"/>
    </row>
    <row r="6" spans="1:15" ht="16.5" thickBot="1" x14ac:dyDescent="0.3">
      <c r="A6" s="8"/>
      <c r="B6" s="8"/>
      <c r="C6" s="8"/>
      <c r="F6" s="8"/>
      <c r="G6" s="8"/>
      <c r="I6" s="8"/>
      <c r="J6" s="8"/>
      <c r="K6" s="8"/>
      <c r="M6" s="8"/>
      <c r="O6" s="8"/>
    </row>
    <row r="7" spans="1:15" ht="13.5" thickBot="1" x14ac:dyDescent="0.25">
      <c r="A7" s="40" t="s">
        <v>0</v>
      </c>
      <c r="B7" s="41"/>
      <c r="C7" s="4"/>
      <c r="E7" s="15" t="s">
        <v>1</v>
      </c>
      <c r="F7" s="19" t="s">
        <v>2</v>
      </c>
      <c r="G7" s="38" t="s">
        <v>3</v>
      </c>
      <c r="H7" s="39"/>
    </row>
    <row r="8" spans="1:15" ht="15.75" thickBot="1" x14ac:dyDescent="0.3">
      <c r="A8" s="27">
        <v>43152.873611111114</v>
      </c>
      <c r="B8" s="28" t="s">
        <v>5</v>
      </c>
      <c r="C8" s="5"/>
      <c r="D8" s="24" t="s">
        <v>8</v>
      </c>
      <c r="E8" s="16">
        <v>43171.5</v>
      </c>
      <c r="F8" s="20">
        <f>EXP(-0.693*(E8-$A$9)/73.831)</f>
        <v>0.83762944110436621</v>
      </c>
      <c r="G8" s="22">
        <f>$A$10*F8*110</f>
        <v>41232.309238362432</v>
      </c>
      <c r="H8" s="3" t="s">
        <v>7</v>
      </c>
    </row>
    <row r="9" spans="1:15" ht="15.75" thickBot="1" x14ac:dyDescent="0.3">
      <c r="A9" s="25">
        <f>A8-6/24</f>
        <v>43152.623611111114</v>
      </c>
      <c r="B9" s="1" t="s">
        <v>6</v>
      </c>
      <c r="C9" s="6"/>
      <c r="D9" s="24" t="s">
        <v>9</v>
      </c>
      <c r="E9" s="17">
        <f>$E$8+119</f>
        <v>43290.5</v>
      </c>
      <c r="F9" s="20">
        <f>EXP(-0.693*(E9-$A$9)/73.831)</f>
        <v>0.27413096640721252</v>
      </c>
      <c r="G9" s="22">
        <f t="shared" ref="G9:G18" si="0">$A$10*F9*110</f>
        <v>13494.096821395036</v>
      </c>
      <c r="H9" s="3" t="s">
        <v>7</v>
      </c>
    </row>
    <row r="10" spans="1:15" ht="15.75" thickBot="1" x14ac:dyDescent="0.3">
      <c r="A10" s="26">
        <v>447.5</v>
      </c>
      <c r="B10" s="12" t="s">
        <v>4</v>
      </c>
      <c r="C10" s="7"/>
      <c r="D10" s="24" t="s">
        <v>10</v>
      </c>
      <c r="E10" s="17">
        <f>$E$8+VALUE(RIGHT(D10:D10,LEN(D10)-SEARCH(" ",D10)))-1</f>
        <v>43180.5</v>
      </c>
      <c r="F10" s="20">
        <f t="shared" ref="F10:F18" si="1">EXP(-0.693*(E10-$A$9)/73.831)</f>
        <v>0.76977564169985579</v>
      </c>
      <c r="G10" s="22">
        <f t="shared" si="0"/>
        <v>37892.205962675398</v>
      </c>
      <c r="H10" s="3" t="s">
        <v>7</v>
      </c>
    </row>
    <row r="11" spans="1:15" ht="15.75" thickBot="1" x14ac:dyDescent="0.3">
      <c r="D11" s="24" t="s">
        <v>14</v>
      </c>
      <c r="E11" s="17">
        <f t="shared" ref="E11:E18" si="2">$E$8+VALUE(RIGHT(D11:D11,LEN(D11)-SEARCH(" ",D11)))-1</f>
        <v>43190.5</v>
      </c>
      <c r="F11" s="20">
        <f t="shared" si="1"/>
        <v>0.70080949371770929</v>
      </c>
      <c r="G11" s="22">
        <f t="shared" si="0"/>
        <v>34497.34732825424</v>
      </c>
      <c r="H11" s="3" t="s">
        <v>7</v>
      </c>
    </row>
    <row r="12" spans="1:15" ht="15.75" thickBot="1" x14ac:dyDescent="0.3">
      <c r="D12" s="24" t="s">
        <v>11</v>
      </c>
      <c r="E12" s="17">
        <f t="shared" si="2"/>
        <v>43200.5</v>
      </c>
      <c r="F12" s="20">
        <f t="shared" si="1"/>
        <v>0.63802219748123778</v>
      </c>
      <c r="G12" s="22">
        <f t="shared" si="0"/>
        <v>31406.642671013931</v>
      </c>
      <c r="H12" s="3" t="s">
        <v>7</v>
      </c>
    </row>
    <row r="13" spans="1:15" ht="15.75" thickBot="1" x14ac:dyDescent="0.3">
      <c r="D13" s="24" t="s">
        <v>15</v>
      </c>
      <c r="E13" s="17">
        <f t="shared" si="2"/>
        <v>43211.5</v>
      </c>
      <c r="F13" s="20">
        <f t="shared" si="1"/>
        <v>0.57543355329629997</v>
      </c>
      <c r="G13" s="22">
        <f t="shared" si="0"/>
        <v>28325.716661010367</v>
      </c>
      <c r="H13" s="3" t="s">
        <v>7</v>
      </c>
    </row>
    <row r="14" spans="1:15" ht="15.75" thickBot="1" x14ac:dyDescent="0.3">
      <c r="D14" s="24" t="s">
        <v>13</v>
      </c>
      <c r="E14" s="17">
        <f t="shared" si="2"/>
        <v>43230.5</v>
      </c>
      <c r="F14" s="20">
        <f t="shared" si="1"/>
        <v>0.48144116880857851</v>
      </c>
      <c r="G14" s="22">
        <f t="shared" si="0"/>
        <v>23698.941534602276</v>
      </c>
      <c r="H14" s="3" t="s">
        <v>7</v>
      </c>
    </row>
    <row r="15" spans="1:15" ht="15.75" thickBot="1" x14ac:dyDescent="0.3">
      <c r="D15" s="24" t="s">
        <v>16</v>
      </c>
      <c r="E15" s="17">
        <f t="shared" si="2"/>
        <v>43241.5</v>
      </c>
      <c r="F15" s="20">
        <f t="shared" si="1"/>
        <v>0.43421279630132448</v>
      </c>
      <c r="G15" s="22">
        <f t="shared" si="0"/>
        <v>21374.124897932699</v>
      </c>
      <c r="H15" s="3" t="s">
        <v>7</v>
      </c>
    </row>
    <row r="16" spans="1:15" ht="15.75" thickBot="1" x14ac:dyDescent="0.3">
      <c r="D16" s="24" t="s">
        <v>12</v>
      </c>
      <c r="E16" s="17">
        <f t="shared" si="2"/>
        <v>43260.5</v>
      </c>
      <c r="F16" s="20">
        <f t="shared" si="1"/>
        <v>0.36328767233930953</v>
      </c>
      <c r="G16" s="22">
        <f t="shared" si="0"/>
        <v>17882.83567090251</v>
      </c>
      <c r="H16" s="3" t="s">
        <v>7</v>
      </c>
    </row>
    <row r="17" spans="4:8" ht="15.75" thickBot="1" x14ac:dyDescent="0.3">
      <c r="D17" s="24" t="s">
        <v>17</v>
      </c>
      <c r="E17" s="17">
        <f t="shared" si="2"/>
        <v>43271.5</v>
      </c>
      <c r="F17" s="20">
        <f t="shared" si="1"/>
        <v>0.32764991090940582</v>
      </c>
      <c r="G17" s="22">
        <f t="shared" si="0"/>
        <v>16128.5668645155</v>
      </c>
      <c r="H17" s="3" t="s">
        <v>7</v>
      </c>
    </row>
    <row r="18" spans="4:8" ht="15.75" thickBot="1" x14ac:dyDescent="0.3">
      <c r="D18" s="24" t="s">
        <v>18</v>
      </c>
      <c r="E18" s="18">
        <f t="shared" si="2"/>
        <v>43281.5</v>
      </c>
      <c r="F18" s="21">
        <f t="shared" si="1"/>
        <v>0.29829492613460051</v>
      </c>
      <c r="G18" s="23">
        <f t="shared" si="0"/>
        <v>14683.567738975711</v>
      </c>
      <c r="H18" s="3" t="s">
        <v>7</v>
      </c>
    </row>
  </sheetData>
  <mergeCells count="2">
    <mergeCell ref="G7:H7"/>
    <mergeCell ref="A7:B7"/>
  </mergeCells>
  <phoneticPr fontId="3" type="noConversion"/>
  <pageMargins left="0.75" right="0.75" top="1" bottom="1" header="0.5" footer="0.5"/>
  <pageSetup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abSelected="1" workbookViewId="0">
      <selection activeCell="E9" sqref="E9"/>
    </sheetView>
  </sheetViews>
  <sheetFormatPr defaultRowHeight="12.75" x14ac:dyDescent="0.2"/>
  <cols>
    <col min="1" max="1" width="14.28515625" customWidth="1"/>
    <col min="2" max="2" width="13" customWidth="1"/>
    <col min="3" max="3" width="10.7109375" customWidth="1"/>
    <col min="4" max="4" width="19.28515625" customWidth="1"/>
    <col min="5" max="5" width="14.28515625" customWidth="1"/>
    <col min="6" max="6" width="11.140625" customWidth="1"/>
    <col min="7" max="7" width="8.85546875" customWidth="1"/>
    <col min="8" max="8" width="13.28515625" customWidth="1"/>
  </cols>
  <sheetData>
    <row r="1" spans="1:15" ht="15.75" x14ac:dyDescent="0.25">
      <c r="A1" s="9" t="s">
        <v>19</v>
      </c>
    </row>
    <row r="2" spans="1:15" ht="15.75" x14ac:dyDescent="0.25">
      <c r="A2" s="8" t="str">
        <f>'Reference Sheet Check'!A2</f>
        <v>Manufacurer's Calibration:455.7GBq @20:58 CET on 21 Feb 2018</v>
      </c>
    </row>
    <row r="3" spans="1:15" ht="15.75" x14ac:dyDescent="0.25">
      <c r="A3" s="8" t="str">
        <f>'Reference Sheet Check'!A3</f>
        <v>Flexisource No.:  NLF 01 D85E-2431</v>
      </c>
      <c r="H3" s="8"/>
    </row>
    <row r="4" spans="1:15" ht="15.75" x14ac:dyDescent="0.25">
      <c r="A4" s="8" t="str">
        <f>'Reference Sheet Check'!A4</f>
        <v>CCSEO Batch Number: 39</v>
      </c>
      <c r="B4" s="8"/>
      <c r="F4" s="8"/>
      <c r="G4" s="8"/>
      <c r="I4" s="8"/>
      <c r="J4" s="8"/>
      <c r="K4" s="8"/>
      <c r="M4" s="8"/>
      <c r="O4" s="8"/>
    </row>
    <row r="5" spans="1:15" ht="15.75" x14ac:dyDescent="0.25">
      <c r="A5" s="8" t="str">
        <f>'Reference Sheet Check'!A5</f>
        <v>Date of source installation @ CCSEO: Mar 12 2018</v>
      </c>
      <c r="B5" s="8"/>
      <c r="C5" s="8"/>
      <c r="F5" s="8"/>
      <c r="G5" s="8"/>
      <c r="I5" s="8"/>
      <c r="J5" s="8"/>
      <c r="K5" s="8"/>
      <c r="M5" s="8"/>
      <c r="O5" s="8"/>
    </row>
    <row r="6" spans="1:15" ht="16.5" thickBot="1" x14ac:dyDescent="0.3">
      <c r="A6" s="8"/>
      <c r="B6" s="8"/>
      <c r="C6" s="8"/>
      <c r="F6" s="8"/>
      <c r="G6" s="8"/>
      <c r="I6" s="8"/>
      <c r="J6" s="8"/>
      <c r="K6" s="8"/>
      <c r="M6" s="8"/>
      <c r="O6" s="8"/>
    </row>
    <row r="7" spans="1:15" ht="13.5" thickBot="1" x14ac:dyDescent="0.25">
      <c r="A7" s="43" t="s">
        <v>0</v>
      </c>
      <c r="B7" s="44"/>
      <c r="C7" s="4"/>
      <c r="E7" s="10" t="s">
        <v>1</v>
      </c>
      <c r="F7" s="11" t="s">
        <v>2</v>
      </c>
      <c r="G7" s="42" t="s">
        <v>3</v>
      </c>
      <c r="H7" s="39"/>
    </row>
    <row r="8" spans="1:15" ht="15.75" thickBot="1" x14ac:dyDescent="0.3">
      <c r="A8" s="29">
        <f>'Reference Sheet Check'!A8</f>
        <v>43152.873611111114</v>
      </c>
      <c r="B8" s="30" t="s">
        <v>5</v>
      </c>
      <c r="C8" s="5"/>
      <c r="D8" t="s">
        <v>21</v>
      </c>
      <c r="E8" s="14">
        <v>43217.5</v>
      </c>
      <c r="F8" s="2">
        <f>EXP(-0.693*(E8-$A$9)/73.831)</f>
        <v>0.54392205510173619</v>
      </c>
      <c r="G8" s="36">
        <f>$A$10*F8*110</f>
        <v>26774.563162382961</v>
      </c>
      <c r="H8" s="3" t="s">
        <v>7</v>
      </c>
    </row>
    <row r="9" spans="1:15" ht="15.75" thickBot="1" x14ac:dyDescent="0.3">
      <c r="A9" s="31">
        <f>A8-6/24</f>
        <v>43152.623611111114</v>
      </c>
      <c r="B9" s="32" t="s">
        <v>6</v>
      </c>
      <c r="C9" s="6"/>
      <c r="D9" t="s">
        <v>20</v>
      </c>
      <c r="E9" s="13">
        <f ca="1">NOW()</f>
        <v>43171.695841203706</v>
      </c>
      <c r="F9" s="2">
        <f ca="1">EXP(-0.693*(E9-$A$9)/73.831)</f>
        <v>0.83609110446846768</v>
      </c>
      <c r="G9" s="36">
        <f ca="1">$A$10*F9*110</f>
        <v>41156.584617460321</v>
      </c>
      <c r="H9" s="3" t="s">
        <v>7</v>
      </c>
    </row>
    <row r="10" spans="1:15" x14ac:dyDescent="0.2">
      <c r="A10" s="33">
        <f>'Reference Sheet Check'!A10</f>
        <v>447.5</v>
      </c>
      <c r="B10" s="34" t="s">
        <v>4</v>
      </c>
      <c r="C10" s="7"/>
    </row>
    <row r="11" spans="1:15" ht="15.75" thickBot="1" x14ac:dyDescent="0.3">
      <c r="A11" s="37">
        <f>A10*110</f>
        <v>49225</v>
      </c>
      <c r="B11" s="35" t="s">
        <v>7</v>
      </c>
    </row>
  </sheetData>
  <mergeCells count="2">
    <mergeCell ref="G7:H7"/>
    <mergeCell ref="A7:B7"/>
  </mergeCells>
  <phoneticPr fontId="3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 Sheet Check</vt:lpstr>
      <vt:lpstr>Check of Specific Date &amp; time</vt:lpstr>
    </vt:vector>
  </TitlesOfParts>
  <Company>Kingston General Hospital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Salomons</dc:creator>
  <cp:lastModifiedBy>Salomons, Greg</cp:lastModifiedBy>
  <cp:lastPrinted>2017-09-08T12:39:28Z</cp:lastPrinted>
  <dcterms:created xsi:type="dcterms:W3CDTF">2010-01-18T16:20:14Z</dcterms:created>
  <dcterms:modified xsi:type="dcterms:W3CDTF">2018-03-12T20:42:24Z</dcterms:modified>
</cp:coreProperties>
</file>