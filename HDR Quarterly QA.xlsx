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trlProps/ctrlProp1.xml" ContentType="application/vnd.ms-excel.controlproperties+xml"/>
  <Override PartName="/xl/ctrlProps/ctrlProp2.xml" ContentType="application/vnd.ms-excel.controlproperties+xml"/>
  <Override PartName="/xl/ctrlProps/ctrlProp3.xml" ContentType="application/vnd.ms-excel.controlproperties+xml"/>
  <Override PartName="/xl/ctrlProps/ctrlProp4.xml" ContentType="application/vnd.ms-excel.controlproperties+xml"/>
  <Override PartName="/xl/ctrlProps/ctrlProp5.xml" ContentType="application/vnd.ms-excel.controlproperties+xml"/>
  <Override PartName="/xl/ctrlProps/ctrlProp6.xml" ContentType="application/vnd.ms-excel.controlproperties+xml"/>
  <Override PartName="/xl/ctrlProps/ctrlProp7.xml" ContentType="application/vnd.ms-excel.controlproperties+xml"/>
  <Override PartName="/xl/ctrlProps/ctrlProp8.xml" ContentType="application/vnd.ms-excel.controlproperties+xml"/>
  <Override PartName="/xl/ctrlProps/ctrlProp9.xml" ContentType="application/vnd.ms-excel.controlproperties+xml"/>
  <Override PartName="/xl/ctrlProps/ctrlProp10.xml" ContentType="application/vnd.ms-excel.controlproperties+xml"/>
  <Override PartName="/xl/ctrlProps/ctrlProp11.xml" ContentType="application/vnd.ms-excel.controlproperties+xml"/>
  <Override PartName="/xl/ctrlProps/ctrlProp12.xml" ContentType="application/vnd.ms-excel.controlproperties+xml"/>
  <Override PartName="/xl/ctrlProps/ctrlProp13.xml" ContentType="application/vnd.ms-excel.controlproperties+xml"/>
  <Override PartName="/xl/ctrlProps/ctrlProp14.xml" ContentType="application/vnd.ms-excel.controlproperties+xml"/>
  <Override PartName="/xl/ctrlProps/ctrlProp15.xml" ContentType="application/vnd.ms-excel.controlproperties+xml"/>
  <Override PartName="/xl/ctrlProps/ctrlProp16.xml" ContentType="application/vnd.ms-excel.controlproperties+xml"/>
  <Override PartName="/xl/ctrlProps/ctrlProp17.xml" ContentType="application/vnd.ms-excel.controlproperties+xml"/>
  <Override PartName="/xl/ctrlProps/ctrlProp18.xml" ContentType="application/vnd.ms-excel.controlproperties+xml"/>
  <Override PartName="/xl/ctrlProps/ctrlProp19.xml" ContentType="application/vnd.ms-excel.control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drawings/drawing2.xml" ContentType="application/vnd.openxmlformats-officedocument.drawing+xml"/>
  <Override PartName="/xl/ctrlProps/ctrlProp20.xml" ContentType="application/vnd.ms-excel.controlproperties+xml"/>
  <Override PartName="/xl/ctrlProps/ctrlProp21.xml" ContentType="application/vnd.ms-excel.controlproperties+xml"/>
  <Override PartName="/xl/ctrlProps/ctrlProp22.xml" ContentType="application/vnd.ms-excel.controlproperties+xml"/>
  <Override PartName="/xl/ctrlProps/ctrlProp23.xml" ContentType="application/vnd.ms-excel.controlproperties+xml"/>
  <Override PartName="/xl/ctrlProps/ctrlProp24.xml" ContentType="application/vnd.ms-excel.controlproperties+xml"/>
  <Override PartName="/xl/ctrlProps/ctrlProp25.xml" ContentType="application/vnd.ms-excel.controlproperties+xml"/>
  <Override PartName="/xl/ctrlProps/ctrlProp26.xml" ContentType="application/vnd.ms-excel.controlproperties+xml"/>
  <Override PartName="/xl/ctrlProps/ctrlProp27.xml" ContentType="application/vnd.ms-excel.controlproperties+xml"/>
  <Override PartName="/xl/ctrlProps/ctrlProp28.xml" ContentType="application/vnd.ms-excel.controlproperties+xml"/>
  <Override PartName="/xl/ctrlProps/ctrlProp29.xml" ContentType="application/vnd.ms-excel.controlproperties+xml"/>
  <Override PartName="/xl/ctrlProps/ctrlProp30.xml" ContentType="application/vnd.ms-excel.controlproperties+xml"/>
  <Override PartName="/xl/ctrlProps/ctrlProp31.xml" ContentType="application/vnd.ms-excel.controlproperties+xml"/>
  <Override PartName="/xl/ctrlProps/ctrlProp32.xml" ContentType="application/vnd.ms-excel.controlproperties+xml"/>
  <Override PartName="/xl/ctrlProps/ctrlProp33.xml" ContentType="application/vnd.ms-excel.controlproperties+xml"/>
  <Override PartName="/xl/ctrlProps/ctrlProp34.xml" ContentType="application/vnd.ms-excel.controlproperties+xml"/>
  <Override PartName="/xl/ctrlProps/ctrlProp35.xml" ContentType="application/vnd.ms-excel.controlproperties+xml"/>
  <Override PartName="/xl/ctrlProps/ctrlProp36.xml" ContentType="application/vnd.ms-excel.controlproperties+xml"/>
  <Override PartName="/xl/ctrlProps/ctrlProp37.xml" ContentType="application/vnd.ms-excel.controlproperties+xml"/>
  <Override PartName="/xl/comments3.xml" ContentType="application/vnd.openxmlformats-officedocument.spreadsheetml.comments+xml"/>
  <Override PartName="/xl/drawings/drawing3.xml" ContentType="application/vnd.openxmlformats-officedocument.drawing+xml"/>
  <Override PartName="/xl/ctrlProps/ctrlProp38.xml" ContentType="application/vnd.ms-excel.controlproperties+xml"/>
  <Override PartName="/xl/ctrlProps/ctrlProp39.xml" ContentType="application/vnd.ms-excel.controlproperties+xml"/>
  <Override PartName="/xl/ctrlProps/ctrlProp40.xml" ContentType="application/vnd.ms-excel.controlproperties+xml"/>
  <Override PartName="/xl/ctrlProps/ctrlProp41.xml" ContentType="application/vnd.ms-excel.controlproperties+xml"/>
  <Override PartName="/xl/ctrlProps/ctrlProp42.xml" ContentType="application/vnd.ms-excel.controlproperties+xml"/>
  <Override PartName="/xl/ctrlProps/ctrlProp43.xml" ContentType="application/vnd.ms-excel.controlproperties+xml"/>
  <Override PartName="/xl/ctrlProps/ctrlProp44.xml" ContentType="application/vnd.ms-excel.controlproperties+xml"/>
  <Override PartName="/xl/ctrlProps/ctrlProp45.xml" ContentType="application/vnd.ms-excel.controlproperties+xml"/>
  <Override PartName="/xl/ctrlProps/ctrlProp46.xml" ContentType="application/vnd.ms-excel.controlproperties+xml"/>
  <Override PartName="/xl/ctrlProps/ctrlProp47.xml" ContentType="application/vnd.ms-excel.controlproperties+xml"/>
  <Override PartName="/xl/ctrlProps/ctrlProp48.xml" ContentType="application/vnd.ms-excel.controlproperties+xml"/>
  <Override PartName="/xl/ctrlProps/ctrlProp49.xml" ContentType="application/vnd.ms-excel.controlproperties+xml"/>
  <Override PartName="/xl/ctrlProps/ctrlProp50.xml" ContentType="application/vnd.ms-excel.controlproperties+xml"/>
  <Override PartName="/xl/ctrlProps/ctrlProp51.xml" ContentType="application/vnd.ms-excel.controlproperties+xml"/>
  <Override PartName="/xl/ctrlProps/ctrlProp52.xml" ContentType="application/vnd.ms-excel.controlproperties+xml"/>
  <Override PartName="/xl/ctrlProps/ctrlProp53.xml" ContentType="application/vnd.ms-excel.controlproperties+xml"/>
  <Override PartName="/xl/ctrlProps/ctrlProp54.xml" ContentType="application/vnd.ms-excel.controlproperties+xml"/>
  <Override PartName="/xl/ctrlProps/ctrlProp55.xml" ContentType="application/vnd.ms-excel.controlproperties+xml"/>
  <Override PartName="/xl/ctrlProps/ctrlProp56.xml" ContentType="application/vnd.ms-excel.controlproperties+xml"/>
  <Override PartName="/xl/ctrlProps/ctrlProp57.xml" ContentType="application/vnd.ms-excel.controlpropertie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4" rupBuild="9303"/>
  <workbookPr defaultThemeVersion="124226"/>
  <bookViews>
    <workbookView xWindow="480" yWindow="540" windowWidth="11715" windowHeight="13740" tabRatio="814" activeTab="3"/>
  </bookViews>
  <sheets>
    <sheet name="HDR Quarterly QA" sheetId="1" r:id="rId1"/>
    <sheet name="Source Receipt Survey" sheetId="11" r:id="rId2"/>
    <sheet name="Exit Dose Calibration" sheetId="7" r:id="rId3"/>
    <sheet name="New Source Calibration" sheetId="8" r:id="rId4"/>
    <sheet name="New Source Survey" sheetId="12" r:id="rId5"/>
    <sheet name="Decay Chart" sheetId="9" r:id="rId6"/>
    <sheet name="Daily Safety &amp; QA" sheetId="5" r:id="rId7"/>
    <sheet name="Power Failure Recovery" sheetId="6" r:id="rId8"/>
    <sheet name="Applicators &amp; Transfer Tubes" sheetId="10" r:id="rId9"/>
    <sheet name="Source Return Survey" sheetId="13" r:id="rId10"/>
  </sheets>
  <calcPr calcId="145621"/>
</workbook>
</file>

<file path=xl/calcChain.xml><?xml version="1.0" encoding="utf-8"?>
<calcChain xmlns="http://schemas.openxmlformats.org/spreadsheetml/2006/main">
  <c r="B6" i="7" l="1"/>
  <c r="D25" i="6"/>
  <c r="B36" i="8"/>
  <c r="N25" i="8"/>
  <c r="J25" i="8"/>
  <c r="K25" i="8"/>
  <c r="J25" i="7"/>
  <c r="K25" i="7"/>
  <c r="L25" i="7"/>
  <c r="D28" i="6"/>
  <c r="D27" i="6"/>
  <c r="D24" i="6"/>
  <c r="D17" i="6"/>
  <c r="D15" i="6"/>
  <c r="C23" i="6"/>
  <c r="C11" i="9"/>
  <c r="C12" i="9" s="1"/>
  <c r="D10" i="9"/>
  <c r="P5" i="9"/>
  <c r="L6" i="9"/>
  <c r="E6" i="9"/>
  <c r="L5" i="9"/>
  <c r="D5" i="9"/>
  <c r="F23" i="8"/>
  <c r="F22" i="8"/>
  <c r="C24" i="8" s="1"/>
  <c r="E30" i="8" s="1"/>
  <c r="F23" i="7"/>
  <c r="F22" i="7"/>
  <c r="C24" i="7"/>
  <c r="B36" i="7"/>
  <c r="E10" i="9"/>
  <c r="D11" i="9"/>
  <c r="B11" i="9"/>
  <c r="B12" i="9"/>
  <c r="B13" i="9" s="1"/>
  <c r="B14" i="9" s="1"/>
  <c r="B15" i="9" s="1"/>
  <c r="B16" i="9" s="1"/>
  <c r="B17" i="9" s="1"/>
  <c r="B18" i="9" s="1"/>
  <c r="B19" i="9" s="1"/>
  <c r="B20" i="9" s="1"/>
  <c r="B21" i="9" s="1"/>
  <c r="B22" i="9" s="1"/>
  <c r="B23" i="9" s="1"/>
  <c r="B24" i="9" s="1"/>
  <c r="B25" i="9" s="1"/>
  <c r="B26" i="9" s="1"/>
  <c r="B27" i="9" s="1"/>
  <c r="B28" i="9" s="1"/>
  <c r="B29" i="9" s="1"/>
  <c r="B30" i="9" s="1"/>
  <c r="B31" i="9" s="1"/>
  <c r="B32" i="9" s="1"/>
  <c r="B33" i="9" s="1"/>
  <c r="B34" i="9" s="1"/>
  <c r="B35" i="9" s="1"/>
  <c r="B36" i="9" s="1"/>
  <c r="B37" i="9" s="1"/>
  <c r="B38" i="9" s="1"/>
  <c r="B39" i="9" s="1"/>
  <c r="F10" i="9" s="1"/>
  <c r="F11" i="9" s="1"/>
  <c r="F12" i="9" s="1"/>
  <c r="F13" i="9" s="1"/>
  <c r="F14" i="9" s="1"/>
  <c r="F15" i="9" s="1"/>
  <c r="F16" i="9" s="1"/>
  <c r="F17" i="9" s="1"/>
  <c r="F18" i="9" s="1"/>
  <c r="F19" i="9" s="1"/>
  <c r="F20" i="9" s="1"/>
  <c r="F21" i="9" s="1"/>
  <c r="F22" i="9" s="1"/>
  <c r="F23" i="9" s="1"/>
  <c r="F24" i="9" s="1"/>
  <c r="F25" i="9" s="1"/>
  <c r="F26" i="9" s="1"/>
  <c r="F27" i="9" s="1"/>
  <c r="F28" i="9" s="1"/>
  <c r="F29" i="9" s="1"/>
  <c r="F30" i="9" s="1"/>
  <c r="F31" i="9" s="1"/>
  <c r="F32" i="9" s="1"/>
  <c r="F33" i="9" s="1"/>
  <c r="F34" i="9" s="1"/>
  <c r="F35" i="9" s="1"/>
  <c r="F36" i="9" s="1"/>
  <c r="F37" i="9" s="1"/>
  <c r="F38" i="9" s="1"/>
  <c r="F39" i="9" s="1"/>
  <c r="J10" i="9" s="1"/>
  <c r="J11" i="9" s="1"/>
  <c r="J12" i="9" s="1"/>
  <c r="J13" i="9" s="1"/>
  <c r="J14" i="9" s="1"/>
  <c r="J15" i="9" s="1"/>
  <c r="J16" i="9" s="1"/>
  <c r="J17" i="9" s="1"/>
  <c r="J18" i="9" s="1"/>
  <c r="J19" i="9" s="1"/>
  <c r="J20" i="9" s="1"/>
  <c r="J21" i="9" s="1"/>
  <c r="J22" i="9" s="1"/>
  <c r="J23" i="9" s="1"/>
  <c r="J24" i="9" s="1"/>
  <c r="J25" i="9" s="1"/>
  <c r="J26" i="9" s="1"/>
  <c r="J27" i="9" s="1"/>
  <c r="J28" i="9" s="1"/>
  <c r="J29" i="9" s="1"/>
  <c r="J30" i="9" s="1"/>
  <c r="J31" i="9" s="1"/>
  <c r="J32" i="9" s="1"/>
  <c r="J33" i="9" s="1"/>
  <c r="J34" i="9" s="1"/>
  <c r="J35" i="9" s="1"/>
  <c r="J36" i="9" s="1"/>
  <c r="J37" i="9" s="1"/>
  <c r="J38" i="9" s="1"/>
  <c r="J39" i="9" s="1"/>
  <c r="N10" i="9" s="1"/>
  <c r="N11" i="9" s="1"/>
  <c r="N12" i="9" s="1"/>
  <c r="N13" i="9" s="1"/>
  <c r="N14" i="9" s="1"/>
  <c r="N15" i="9" s="1"/>
  <c r="N16" i="9" s="1"/>
  <c r="N17" i="9" s="1"/>
  <c r="N18" i="9" s="1"/>
  <c r="N19" i="9" s="1"/>
  <c r="N20" i="9" s="1"/>
  <c r="N21" i="9" s="1"/>
  <c r="N22" i="9" s="1"/>
  <c r="N23" i="9" s="1"/>
  <c r="N24" i="9" s="1"/>
  <c r="N25" i="9" s="1"/>
  <c r="N26" i="9" s="1"/>
  <c r="N27" i="9" s="1"/>
  <c r="N28" i="9" s="1"/>
  <c r="N29" i="9" s="1"/>
  <c r="N30" i="9" s="1"/>
  <c r="N31" i="9" s="1"/>
  <c r="N32" i="9" s="1"/>
  <c r="N33" i="9" s="1"/>
  <c r="N34" i="9" s="1"/>
  <c r="N35" i="9" s="1"/>
  <c r="N36" i="9" s="1"/>
  <c r="N37" i="9" s="1"/>
  <c r="N38" i="9" s="1"/>
  <c r="N39" i="9" s="1"/>
  <c r="E31" i="8"/>
  <c r="E28" i="8"/>
  <c r="Q25" i="8"/>
  <c r="O25" i="8"/>
  <c r="M25" i="8"/>
  <c r="L25" i="8"/>
  <c r="I25" i="8"/>
  <c r="E20" i="8"/>
  <c r="A19" i="8"/>
  <c r="E26" i="8" s="1"/>
  <c r="F11" i="8"/>
  <c r="E27" i="8" s="1"/>
  <c r="B6" i="8"/>
  <c r="E6" i="8" s="1"/>
  <c r="E29" i="8" s="1"/>
  <c r="Q25" i="7"/>
  <c r="O25" i="7"/>
  <c r="N25" i="7"/>
  <c r="M25" i="7"/>
  <c r="I25" i="7"/>
  <c r="B37" i="8"/>
  <c r="D37" i="8"/>
  <c r="D39" i="8" s="1"/>
  <c r="B37" i="7"/>
  <c r="D37" i="7"/>
  <c r="D39" i="7" s="1"/>
  <c r="F11" i="7"/>
  <c r="E27" i="7" s="1"/>
  <c r="E20" i="7"/>
  <c r="A19" i="7"/>
  <c r="E26" i="7"/>
  <c r="E31" i="7"/>
  <c r="E28" i="7"/>
  <c r="E6" i="7"/>
  <c r="E29" i="7" s="1"/>
  <c r="E30" i="7"/>
  <c r="C33" i="5"/>
  <c r="C14" i="5"/>
  <c r="C13" i="5"/>
  <c r="E11" i="9"/>
  <c r="C13" i="9" l="1"/>
  <c r="D12" i="9"/>
  <c r="B31" i="7"/>
  <c r="B31" i="8"/>
  <c r="E12" i="9"/>
  <c r="D40" i="8" l="1"/>
  <c r="D32" i="8"/>
  <c r="B32" i="8"/>
  <c r="D40" i="7"/>
  <c r="B32" i="7"/>
  <c r="D32" i="7"/>
  <c r="C14" i="9"/>
  <c r="D13" i="9"/>
  <c r="E13" i="9"/>
  <c r="D42" i="7" l="1"/>
  <c r="F42" i="7" s="1"/>
  <c r="D41" i="7"/>
  <c r="F41" i="7" s="1"/>
  <c r="C15" i="9"/>
  <c r="D14" i="9"/>
  <c r="E14" i="9"/>
  <c r="D42" i="8"/>
  <c r="F42" i="8" s="1"/>
  <c r="D41" i="8"/>
  <c r="F41" i="8" s="1"/>
  <c r="E15" i="9" l="1"/>
  <c r="C16" i="9"/>
  <c r="D15" i="9"/>
  <c r="C17" i="9" l="1"/>
  <c r="E16" i="9"/>
  <c r="D16" i="9"/>
  <c r="C18" i="9" l="1"/>
  <c r="E17" i="9"/>
  <c r="D17" i="9"/>
  <c r="D18" i="9" l="1"/>
  <c r="C19" i="9"/>
  <c r="E18" i="9"/>
  <c r="E19" i="9" l="1"/>
  <c r="D19" i="9"/>
  <c r="C20" i="9"/>
  <c r="D20" i="9" l="1"/>
  <c r="C21" i="9"/>
  <c r="E20" i="9"/>
  <c r="E21" i="9" l="1"/>
  <c r="D21" i="9"/>
  <c r="C22" i="9"/>
  <c r="D22" i="9" l="1"/>
  <c r="C23" i="9"/>
  <c r="E22" i="9"/>
  <c r="C24" i="9" l="1"/>
  <c r="D23" i="9"/>
  <c r="E23" i="9"/>
  <c r="D24" i="9" l="1"/>
  <c r="C25" i="9"/>
  <c r="E24" i="9"/>
  <c r="C26" i="9" l="1"/>
  <c r="E25" i="9"/>
  <c r="D25" i="9"/>
  <c r="D26" i="9" l="1"/>
  <c r="C27" i="9"/>
  <c r="E26" i="9"/>
  <c r="E27" i="9" l="1"/>
  <c r="D27" i="9"/>
  <c r="C28" i="9"/>
  <c r="E28" i="9" l="1"/>
  <c r="C29" i="9"/>
  <c r="D28" i="9"/>
  <c r="E29" i="9" l="1"/>
  <c r="D29" i="9"/>
  <c r="C30" i="9"/>
  <c r="E30" i="9" l="1"/>
  <c r="C31" i="9"/>
  <c r="D30" i="9"/>
  <c r="C32" i="9" l="1"/>
  <c r="D31" i="9"/>
  <c r="E31" i="9"/>
  <c r="E32" i="9" l="1"/>
  <c r="C33" i="9"/>
  <c r="D32" i="9"/>
  <c r="C34" i="9" l="1"/>
  <c r="E33" i="9"/>
  <c r="D33" i="9"/>
  <c r="D34" i="9" l="1"/>
  <c r="C35" i="9"/>
  <c r="E34" i="9"/>
  <c r="E35" i="9" l="1"/>
  <c r="D35" i="9"/>
  <c r="C36" i="9"/>
  <c r="D36" i="9" l="1"/>
  <c r="C37" i="9"/>
  <c r="E36" i="9"/>
  <c r="E37" i="9" l="1"/>
  <c r="D37" i="9"/>
  <c r="C38" i="9"/>
  <c r="E38" i="9" l="1"/>
  <c r="C39" i="9"/>
  <c r="D38" i="9"/>
  <c r="G10" i="9" l="1"/>
  <c r="D39" i="9"/>
  <c r="E39" i="9"/>
  <c r="G11" i="9" l="1"/>
  <c r="H10" i="9"/>
  <c r="I10" i="9"/>
  <c r="G12" i="9" l="1"/>
  <c r="I11" i="9"/>
  <c r="H11" i="9"/>
  <c r="G13" i="9" l="1"/>
  <c r="I12" i="9"/>
  <c r="H12" i="9"/>
  <c r="G14" i="9" l="1"/>
  <c r="H13" i="9"/>
  <c r="I13" i="9"/>
  <c r="I14" i="9" l="1"/>
  <c r="G15" i="9"/>
  <c r="H14" i="9"/>
  <c r="G16" i="9" l="1"/>
  <c r="I15" i="9"/>
  <c r="H15" i="9"/>
  <c r="I16" i="9" l="1"/>
  <c r="G17" i="9"/>
  <c r="H16" i="9"/>
  <c r="G18" i="9" l="1"/>
  <c r="H17" i="9"/>
  <c r="I17" i="9"/>
  <c r="G19" i="9" l="1"/>
  <c r="H18" i="9"/>
  <c r="I18" i="9"/>
  <c r="G20" i="9" l="1"/>
  <c r="I19" i="9"/>
  <c r="H19" i="9"/>
  <c r="I20" i="9" l="1"/>
  <c r="G21" i="9"/>
  <c r="H20" i="9"/>
  <c r="H21" i="9" l="1"/>
  <c r="I21" i="9"/>
  <c r="G22" i="9"/>
  <c r="H22" i="9" l="1"/>
  <c r="G23" i="9"/>
  <c r="I22" i="9"/>
  <c r="H23" i="9" l="1"/>
  <c r="I23" i="9"/>
  <c r="G24" i="9"/>
  <c r="I24" i="9" l="1"/>
  <c r="H24" i="9"/>
  <c r="G25" i="9"/>
  <c r="H25" i="9" l="1"/>
  <c r="I25" i="9"/>
  <c r="G26" i="9"/>
  <c r="I26" i="9" l="1"/>
  <c r="G27" i="9"/>
  <c r="H26" i="9"/>
  <c r="H27" i="9" l="1"/>
  <c r="I27" i="9"/>
  <c r="G28" i="9"/>
  <c r="H28" i="9" l="1"/>
  <c r="I28" i="9"/>
  <c r="G29" i="9"/>
  <c r="H29" i="9" l="1"/>
  <c r="I29" i="9"/>
  <c r="G30" i="9"/>
  <c r="H30" i="9" l="1"/>
  <c r="G31" i="9"/>
  <c r="I30" i="9"/>
  <c r="H31" i="9" l="1"/>
  <c r="I31" i="9"/>
  <c r="G32" i="9"/>
  <c r="I32" i="9" l="1"/>
  <c r="H32" i="9"/>
  <c r="G33" i="9"/>
  <c r="H33" i="9" l="1"/>
  <c r="I33" i="9"/>
  <c r="G34" i="9"/>
  <c r="I34" i="9" l="1"/>
  <c r="G35" i="9"/>
  <c r="H34" i="9"/>
  <c r="H35" i="9" l="1"/>
  <c r="I35" i="9"/>
  <c r="G36" i="9"/>
  <c r="I36" i="9" l="1"/>
  <c r="H36" i="9"/>
  <c r="G37" i="9"/>
  <c r="H37" i="9" l="1"/>
  <c r="I37" i="9"/>
  <c r="G38" i="9"/>
  <c r="I38" i="9" l="1"/>
  <c r="G39" i="9"/>
  <c r="H38" i="9"/>
  <c r="H39" i="9" l="1"/>
  <c r="I39" i="9"/>
  <c r="K10" i="9"/>
  <c r="L10" i="9" l="1"/>
  <c r="M10" i="9"/>
  <c r="K11" i="9"/>
  <c r="L11" i="9" l="1"/>
  <c r="M11" i="9"/>
  <c r="K12" i="9"/>
  <c r="K13" i="9" l="1"/>
  <c r="L12" i="9"/>
  <c r="M12" i="9"/>
  <c r="K14" i="9" l="1"/>
  <c r="L13" i="9"/>
  <c r="M13" i="9"/>
  <c r="K15" i="9" l="1"/>
  <c r="L14" i="9"/>
  <c r="M14" i="9"/>
  <c r="K16" i="9" l="1"/>
  <c r="L15" i="9"/>
  <c r="M15" i="9"/>
  <c r="K17" i="9" l="1"/>
  <c r="L16" i="9"/>
  <c r="M16" i="9"/>
  <c r="K18" i="9" l="1"/>
  <c r="L17" i="9"/>
  <c r="M17" i="9"/>
  <c r="K19" i="9" l="1"/>
  <c r="L18" i="9"/>
  <c r="M18" i="9"/>
  <c r="K20" i="9" l="1"/>
  <c r="L19" i="9"/>
  <c r="M19" i="9"/>
  <c r="K21" i="9" l="1"/>
  <c r="M20" i="9"/>
  <c r="L20" i="9"/>
  <c r="K22" i="9" l="1"/>
  <c r="L21" i="9"/>
  <c r="M21" i="9"/>
  <c r="K23" i="9" l="1"/>
  <c r="L22" i="9"/>
  <c r="M22" i="9"/>
  <c r="K24" i="9" l="1"/>
  <c r="L23" i="9"/>
  <c r="M23" i="9"/>
  <c r="K25" i="9" l="1"/>
  <c r="L24" i="9"/>
  <c r="M24" i="9"/>
  <c r="K26" i="9" l="1"/>
  <c r="L25" i="9"/>
  <c r="M25" i="9"/>
  <c r="K27" i="9" l="1"/>
  <c r="M26" i="9"/>
  <c r="L26" i="9"/>
  <c r="K28" i="9" l="1"/>
  <c r="L27" i="9"/>
  <c r="M27" i="9"/>
  <c r="K29" i="9" l="1"/>
  <c r="L28" i="9"/>
  <c r="M28" i="9"/>
  <c r="K30" i="9" l="1"/>
  <c r="L29" i="9"/>
  <c r="M29" i="9"/>
  <c r="K31" i="9" l="1"/>
  <c r="L30" i="9"/>
  <c r="M30" i="9"/>
  <c r="K32" i="9" l="1"/>
  <c r="L31" i="9"/>
  <c r="M31" i="9"/>
  <c r="K33" i="9" l="1"/>
  <c r="L32" i="9"/>
  <c r="M32" i="9"/>
  <c r="K34" i="9" l="1"/>
  <c r="L33" i="9"/>
  <c r="M33" i="9"/>
  <c r="K35" i="9" l="1"/>
  <c r="L34" i="9"/>
  <c r="M34" i="9"/>
  <c r="K36" i="9" l="1"/>
  <c r="L35" i="9"/>
  <c r="M35" i="9"/>
  <c r="K37" i="9" l="1"/>
  <c r="L36" i="9"/>
  <c r="M36" i="9"/>
  <c r="K38" i="9" l="1"/>
  <c r="L37" i="9"/>
  <c r="M37" i="9"/>
  <c r="K39" i="9" l="1"/>
  <c r="L38" i="9"/>
  <c r="M38" i="9"/>
  <c r="O10" i="9" l="1"/>
  <c r="L39" i="9"/>
  <c r="M39" i="9"/>
  <c r="O11" i="9" l="1"/>
  <c r="Q10" i="9"/>
  <c r="P10" i="9"/>
  <c r="O12" i="9" l="1"/>
  <c r="P11" i="9"/>
  <c r="Q11" i="9"/>
  <c r="O13" i="9" l="1"/>
  <c r="P12" i="9"/>
  <c r="Q12" i="9"/>
  <c r="O14" i="9" l="1"/>
  <c r="P13" i="9"/>
  <c r="Q13" i="9"/>
  <c r="O15" i="9" l="1"/>
  <c r="P14" i="9"/>
  <c r="Q14" i="9"/>
  <c r="O16" i="9" l="1"/>
  <c r="P15" i="9"/>
  <c r="Q15" i="9"/>
  <c r="O17" i="9" l="1"/>
  <c r="P16" i="9"/>
  <c r="Q16" i="9"/>
  <c r="O18" i="9" l="1"/>
  <c r="P17" i="9"/>
  <c r="Q17" i="9"/>
  <c r="O19" i="9" l="1"/>
  <c r="Q18" i="9"/>
  <c r="P18" i="9"/>
  <c r="O20" i="9" l="1"/>
  <c r="P19" i="9"/>
  <c r="Q19" i="9"/>
  <c r="O21" i="9" l="1"/>
  <c r="P20" i="9"/>
  <c r="Q20" i="9"/>
  <c r="O22" i="9" l="1"/>
  <c r="Q21" i="9"/>
  <c r="P21" i="9"/>
  <c r="O23" i="9" l="1"/>
  <c r="P22" i="9"/>
  <c r="Q22" i="9"/>
  <c r="O24" i="9" l="1"/>
  <c r="P23" i="9"/>
  <c r="Q23" i="9"/>
  <c r="P24" i="9" l="1"/>
  <c r="O25" i="9"/>
  <c r="Q24" i="9"/>
  <c r="P25" i="9" l="1"/>
  <c r="O26" i="9"/>
  <c r="Q25" i="9"/>
  <c r="O27" i="9" l="1"/>
  <c r="P26" i="9"/>
  <c r="Q26" i="9"/>
  <c r="Q27" i="9" l="1"/>
  <c r="O28" i="9"/>
  <c r="P27" i="9"/>
  <c r="Q28" i="9" l="1"/>
  <c r="O29" i="9"/>
  <c r="P28" i="9"/>
  <c r="P29" i="9" l="1"/>
  <c r="O30" i="9"/>
  <c r="Q29" i="9"/>
  <c r="Q30" i="9" l="1"/>
  <c r="O31" i="9"/>
  <c r="P30" i="9"/>
  <c r="Q31" i="9" l="1"/>
  <c r="O32" i="9"/>
  <c r="P31" i="9"/>
  <c r="O33" i="9" l="1"/>
  <c r="Q32" i="9"/>
  <c r="P32" i="9"/>
  <c r="O34" i="9" l="1"/>
  <c r="P33" i="9"/>
  <c r="Q33" i="9"/>
  <c r="Q34" i="9" l="1"/>
  <c r="P34" i="9"/>
  <c r="O35" i="9"/>
  <c r="O36" i="9" l="1"/>
  <c r="P35" i="9"/>
  <c r="Q35" i="9"/>
  <c r="P36" i="9" l="1"/>
  <c r="Q36" i="9"/>
  <c r="O37" i="9"/>
  <c r="O38" i="9" l="1"/>
  <c r="Q37" i="9"/>
  <c r="P37" i="9"/>
  <c r="Q38" i="9" l="1"/>
  <c r="O39" i="9"/>
  <c r="P38" i="9"/>
  <c r="Q39" i="9" l="1"/>
  <c r="P39" i="9"/>
</calcChain>
</file>

<file path=xl/comments1.xml><?xml version="1.0" encoding="utf-8"?>
<comments xmlns="http://schemas.openxmlformats.org/spreadsheetml/2006/main">
  <authors>
    <author>Avadhani</author>
    <author>cjoshi</author>
  </authors>
  <commentList>
    <comment ref="A2" authorId="0">
      <text>
        <r>
          <rPr>
            <b/>
            <sz val="22"/>
            <color indexed="81"/>
            <rFont val="Tahoma"/>
            <family val="2"/>
          </rPr>
          <t>Enter The Readings at YELLOW Colors</t>
        </r>
        <r>
          <rPr>
            <sz val="22"/>
            <color indexed="81"/>
            <rFont val="Tahoma"/>
            <family val="2"/>
          </rPr>
          <t xml:space="preserve">
</t>
        </r>
      </text>
    </comment>
    <comment ref="B4" authorId="1">
      <text>
        <r>
          <rPr>
            <b/>
            <sz val="10"/>
            <color indexed="81"/>
            <rFont val="Tahoma"/>
            <family val="2"/>
          </rPr>
          <t>cjoshi:</t>
        </r>
        <r>
          <rPr>
            <sz val="10"/>
            <color indexed="81"/>
            <rFont val="Tahoma"/>
            <family val="2"/>
          </rPr>
          <t xml:space="preserve">
enter date and time in correct format e.g
27 Aug 2008 17:00
</t>
        </r>
      </text>
    </comment>
    <comment ref="B35" authorId="1">
      <text>
        <r>
          <rPr>
            <b/>
            <sz val="10"/>
            <color indexed="81"/>
            <rFont val="Tahoma"/>
            <family val="2"/>
          </rPr>
          <t>cjoshi:</t>
        </r>
        <r>
          <rPr>
            <sz val="10"/>
            <color indexed="81"/>
            <rFont val="Tahoma"/>
            <family val="2"/>
          </rPr>
          <t xml:space="preserve">
cjoshi:
enter date and time in correct format e.g
15 Aug 2008 11:28</t>
        </r>
      </text>
    </comment>
    <comment ref="B36" authorId="1">
      <text>
        <r>
          <rPr>
            <b/>
            <sz val="10"/>
            <color indexed="81"/>
            <rFont val="Tahoma"/>
            <family val="2"/>
          </rPr>
          <t>cjoshi:</t>
        </r>
        <r>
          <rPr>
            <sz val="10"/>
            <color indexed="81"/>
            <rFont val="Tahoma"/>
            <family val="2"/>
          </rPr>
          <t xml:space="preserve">
cjoshi:
enter date and time in correct format e.g
15 Aug 2008 11:28</t>
        </r>
      </text>
    </comment>
    <comment ref="B37" authorId="1">
      <text>
        <r>
          <rPr>
            <b/>
            <sz val="10"/>
            <color indexed="81"/>
            <rFont val="Tahoma"/>
            <family val="2"/>
          </rPr>
          <t>cjoshi:</t>
        </r>
        <r>
          <rPr>
            <sz val="10"/>
            <color indexed="81"/>
            <rFont val="Tahoma"/>
            <family val="2"/>
          </rPr>
          <t xml:space="preserve">
time difference between Holland and Canada accounted for</t>
        </r>
      </text>
    </comment>
  </commentList>
</comments>
</file>

<file path=xl/comments2.xml><?xml version="1.0" encoding="utf-8"?>
<comments xmlns="http://schemas.openxmlformats.org/spreadsheetml/2006/main">
  <authors>
    <author>Avadhani</author>
    <author>cjoshi</author>
  </authors>
  <commentList>
    <comment ref="A2" authorId="0">
      <text>
        <r>
          <rPr>
            <b/>
            <sz val="22"/>
            <color indexed="81"/>
            <rFont val="Tahoma"/>
            <family val="2"/>
          </rPr>
          <t>Enter The Readings at YELLOW Colors</t>
        </r>
        <r>
          <rPr>
            <sz val="22"/>
            <color indexed="81"/>
            <rFont val="Tahoma"/>
            <family val="2"/>
          </rPr>
          <t xml:space="preserve">
</t>
        </r>
      </text>
    </comment>
    <comment ref="B4" authorId="1">
      <text>
        <r>
          <rPr>
            <b/>
            <sz val="10"/>
            <color indexed="81"/>
            <rFont val="Tahoma"/>
            <family val="2"/>
          </rPr>
          <t>cjoshi:</t>
        </r>
        <r>
          <rPr>
            <sz val="10"/>
            <color indexed="81"/>
            <rFont val="Tahoma"/>
            <family val="2"/>
          </rPr>
          <t xml:space="preserve">
enter date and time in correct format e.g
27 Aug 2008 17:00
</t>
        </r>
      </text>
    </comment>
    <comment ref="B35" authorId="1">
      <text>
        <r>
          <rPr>
            <b/>
            <sz val="10"/>
            <color indexed="81"/>
            <rFont val="Tahoma"/>
            <family val="2"/>
          </rPr>
          <t>cjoshi:</t>
        </r>
        <r>
          <rPr>
            <sz val="10"/>
            <color indexed="81"/>
            <rFont val="Tahoma"/>
            <family val="2"/>
          </rPr>
          <t xml:space="preserve">
cjoshi:
enter date and time in correct format e.g
15 Aug 2008 11:28</t>
        </r>
      </text>
    </comment>
    <comment ref="B36" authorId="1">
      <text>
        <r>
          <rPr>
            <b/>
            <sz val="10"/>
            <color indexed="81"/>
            <rFont val="Tahoma"/>
            <family val="2"/>
          </rPr>
          <t>cjoshi:</t>
        </r>
        <r>
          <rPr>
            <sz val="10"/>
            <color indexed="81"/>
            <rFont val="Tahoma"/>
            <family val="2"/>
          </rPr>
          <t xml:space="preserve">
cjoshi:
enter date and time in correct format e.g
15 Aug 2008 11:28</t>
        </r>
      </text>
    </comment>
    <comment ref="B37" authorId="1">
      <text>
        <r>
          <rPr>
            <b/>
            <sz val="10"/>
            <color indexed="81"/>
            <rFont val="Tahoma"/>
            <family val="2"/>
          </rPr>
          <t>cjoshi:</t>
        </r>
        <r>
          <rPr>
            <sz val="10"/>
            <color indexed="81"/>
            <rFont val="Tahoma"/>
            <family val="2"/>
          </rPr>
          <t xml:space="preserve">
time difference between Holland and Canada accounted for</t>
        </r>
      </text>
    </comment>
  </commentList>
</comments>
</file>

<file path=xl/comments3.xml><?xml version="1.0" encoding="utf-8"?>
<comments xmlns="http://schemas.openxmlformats.org/spreadsheetml/2006/main">
  <authors>
    <author>Halsall, Tracy</author>
  </authors>
  <commentList>
    <comment ref="C10" authorId="0">
      <text>
        <r>
          <rPr>
            <b/>
            <sz val="9"/>
            <color indexed="81"/>
            <rFont val="Tahoma"/>
            <family val="2"/>
          </rPr>
          <t>Halsall, Tracy:</t>
        </r>
        <r>
          <rPr>
            <sz val="9"/>
            <color indexed="81"/>
            <rFont val="Tahoma"/>
            <family val="2"/>
          </rPr>
          <t xml:space="preserve">
insert date and time in correct format
eg. 01 Dec 2015 12:00
(table will automatically populate)</t>
        </r>
      </text>
    </comment>
  </commentList>
</comments>
</file>

<file path=xl/sharedStrings.xml><?xml version="1.0" encoding="utf-8"?>
<sst xmlns="http://schemas.openxmlformats.org/spreadsheetml/2006/main" count="495" uniqueCount="259">
  <si>
    <t>HDR Brachytherapy</t>
  </si>
  <si>
    <t>Date:</t>
  </si>
  <si>
    <t>Daily QA tests</t>
  </si>
  <si>
    <t>Catheter obstruction test</t>
  </si>
  <si>
    <t>Source data verification</t>
  </si>
  <si>
    <t>SIGNATURE</t>
  </si>
  <si>
    <t>Quarterly QA Worksheet</t>
  </si>
  <si>
    <t>Pretreatment Safety &amp; QA Tests</t>
  </si>
  <si>
    <t>Startup</t>
  </si>
  <si>
    <t>Emergency equipment</t>
  </si>
  <si>
    <t>Survey meter</t>
  </si>
  <si>
    <t>Date, time &amp; source strength in treatment unit</t>
  </si>
  <si>
    <t>Expected Activity (U)</t>
  </si>
  <si>
    <t>Current Activity (U)</t>
  </si>
  <si>
    <t>Calculated dwell time of 60s</t>
  </si>
  <si>
    <t>Calculated dwell time of 15s</t>
  </si>
  <si>
    <t>Dwell times accurate</t>
  </si>
  <si>
    <t>Emergency off</t>
  </si>
  <si>
    <t>on TDU</t>
  </si>
  <si>
    <t>on wall inside treatment room</t>
  </si>
  <si>
    <t>on TCP (no radiation)</t>
  </si>
  <si>
    <t>on TCP (with radiation)</t>
  </si>
  <si>
    <t>Warning lights</t>
  </si>
  <si>
    <t>Room radiation monitors</t>
  </si>
  <si>
    <t>Treatment interrupt</t>
  </si>
  <si>
    <t>Door interlock / last person out</t>
  </si>
  <si>
    <t>Key switch</t>
  </si>
  <si>
    <t>Source positional accuracy</t>
  </si>
  <si>
    <t>Channel 1 - 200mm</t>
  </si>
  <si>
    <t>Channel 3 - 180mm</t>
  </si>
  <si>
    <t>Channel 3 - 220mm</t>
  </si>
  <si>
    <t>Channel 5 - 200mm</t>
  </si>
  <si>
    <t>Dwell time accuracy</t>
  </si>
  <si>
    <t>Expected dwell time (s)</t>
  </si>
  <si>
    <t>Measured dwell time (s)</t>
  </si>
  <si>
    <t>Transit tube misconnect interlock</t>
  </si>
  <si>
    <t>Exit dose calibration</t>
  </si>
  <si>
    <t>Source calibration</t>
  </si>
  <si>
    <t>Source position accuracy - part 1</t>
  </si>
  <si>
    <t>Records</t>
  </si>
  <si>
    <t>Power Failure Recovery</t>
  </si>
  <si>
    <t>Channel</t>
  </si>
  <si>
    <t>Dwell position</t>
  </si>
  <si>
    <t>DAILY SAFETY &amp; QA TESTS</t>
  </si>
  <si>
    <t xml:space="preserve">CCSEO Batch No.:  </t>
  </si>
  <si>
    <t>TDU:</t>
  </si>
  <si>
    <t>Flexitron B (FT 00107)</t>
  </si>
  <si>
    <t>Date and Time:</t>
  </si>
  <si>
    <t xml:space="preserve">HDR - 1000 Well-Type Ionization Chamber            Serial Number:  </t>
  </si>
  <si>
    <t>A021025 (245cc)</t>
  </si>
  <si>
    <r>
      <t>Date of Calibration:</t>
    </r>
    <r>
      <rPr>
        <sz val="9"/>
        <rFont val="Times New Roman"/>
        <family val="1"/>
      </rPr>
      <t xml:space="preserve"> March 1, 2014</t>
    </r>
  </si>
  <si>
    <t xml:space="preserve"> </t>
  </si>
  <si>
    <r>
      <t>Calibration Factor (C</t>
    </r>
    <r>
      <rPr>
        <b/>
        <vertAlign val="subscript"/>
        <sz val="9"/>
        <rFont val="Times New Roman"/>
        <family val="1"/>
      </rPr>
      <t>WC</t>
    </r>
    <r>
      <rPr>
        <b/>
        <sz val="9"/>
        <rFont val="Times New Roman"/>
        <family val="1"/>
      </rPr>
      <t>):</t>
    </r>
  </si>
  <si>
    <r>
      <t xml:space="preserve"> </t>
    </r>
    <r>
      <rPr>
        <b/>
        <sz val="9"/>
        <rFont val="Times New Roman"/>
        <family val="1"/>
      </rPr>
      <t>Gy m</t>
    </r>
    <r>
      <rPr>
        <b/>
        <vertAlign val="superscript"/>
        <sz val="9"/>
        <rFont val="Times New Roman"/>
        <family val="1"/>
      </rPr>
      <t>2</t>
    </r>
    <r>
      <rPr>
        <b/>
        <sz val="9"/>
        <rFont val="Times New Roman"/>
        <family val="1"/>
      </rPr>
      <t>h</t>
    </r>
    <r>
      <rPr>
        <b/>
        <vertAlign val="superscript"/>
        <sz val="9"/>
        <rFont val="Times New Roman"/>
        <family val="1"/>
      </rPr>
      <t>-1</t>
    </r>
    <r>
      <rPr>
        <b/>
        <sz val="9"/>
        <rFont val="Times New Roman"/>
        <family val="1"/>
      </rPr>
      <t>A</t>
    </r>
    <r>
      <rPr>
        <b/>
        <vertAlign val="superscript"/>
        <sz val="9"/>
        <rFont val="Times New Roman"/>
        <family val="1"/>
      </rPr>
      <t>-1</t>
    </r>
    <r>
      <rPr>
        <b/>
        <sz val="9"/>
        <rFont val="Times New Roman"/>
        <family val="1"/>
      </rPr>
      <t xml:space="preserve"> (or U/A)  =</t>
    </r>
  </si>
  <si>
    <r>
      <t xml:space="preserve"> </t>
    </r>
    <r>
      <rPr>
        <b/>
        <sz val="9"/>
        <rFont val="Symbol"/>
        <family val="1"/>
        <charset val="2"/>
      </rPr>
      <t>m</t>
    </r>
    <r>
      <rPr>
        <b/>
        <sz val="9"/>
        <rFont val="Times New Roman"/>
        <family val="1"/>
      </rPr>
      <t>Gy m</t>
    </r>
    <r>
      <rPr>
        <b/>
        <vertAlign val="superscript"/>
        <sz val="9"/>
        <rFont val="Times New Roman"/>
        <family val="1"/>
      </rPr>
      <t>2</t>
    </r>
    <r>
      <rPr>
        <b/>
        <sz val="9"/>
        <rFont val="Times New Roman"/>
        <family val="1"/>
      </rPr>
      <t>h</t>
    </r>
    <r>
      <rPr>
        <b/>
        <vertAlign val="superscript"/>
        <sz val="9"/>
        <rFont val="Times New Roman"/>
        <family val="1"/>
      </rPr>
      <t>-1</t>
    </r>
    <r>
      <rPr>
        <b/>
        <sz val="9"/>
        <rFont val="Times New Roman"/>
        <family val="1"/>
      </rPr>
      <t>/nA</t>
    </r>
    <r>
      <rPr>
        <b/>
        <vertAlign val="superscript"/>
        <sz val="9"/>
        <rFont val="Times New Roman"/>
        <family val="1"/>
      </rPr>
      <t>-1</t>
    </r>
    <r>
      <rPr>
        <b/>
        <sz val="9"/>
        <rFont val="Times New Roman"/>
        <family val="1"/>
      </rPr>
      <t xml:space="preserve"> (or U/A)</t>
    </r>
  </si>
  <si>
    <t xml:space="preserve">Electrometer Model:  Max 4000                         Serial Number: E021531  </t>
  </si>
  <si>
    <r>
      <t>Calibration Factor (C</t>
    </r>
    <r>
      <rPr>
        <b/>
        <vertAlign val="subscript"/>
        <sz val="9"/>
        <rFont val="Times New Roman"/>
        <family val="1"/>
      </rPr>
      <t>E</t>
    </r>
    <r>
      <rPr>
        <b/>
        <sz val="9"/>
        <rFont val="Times New Roman"/>
        <family val="1"/>
      </rPr>
      <t xml:space="preserve">): </t>
    </r>
  </si>
  <si>
    <t>nA/Rdg</t>
  </si>
  <si>
    <t>Bias Voltage: 302 V</t>
  </si>
  <si>
    <t>Temperature - Pressure Correction Factor:</t>
  </si>
  <si>
    <t>Temperature (°C):</t>
  </si>
  <si>
    <r>
      <t>C</t>
    </r>
    <r>
      <rPr>
        <b/>
        <vertAlign val="subscript"/>
        <sz val="8"/>
        <rFont val="Times New Roman"/>
        <family val="1"/>
      </rPr>
      <t xml:space="preserve">TP </t>
    </r>
    <r>
      <rPr>
        <b/>
        <sz val="8"/>
        <rFont val="Times New Roman"/>
        <family val="1"/>
      </rPr>
      <t>:</t>
    </r>
  </si>
  <si>
    <t>Final Measurements (at the location of sweetspot)</t>
  </si>
  <si>
    <t>full voltage</t>
  </si>
  <si>
    <t>1/2 voltage</t>
  </si>
  <si>
    <t>Leakage (nA)</t>
  </si>
  <si>
    <t>Rdgs (nA)</t>
  </si>
  <si>
    <t>Source Position (mm)</t>
  </si>
  <si>
    <t>Before Calibration</t>
  </si>
  <si>
    <t>After Calibration</t>
  </si>
  <si>
    <t>Average leakage (nA)</t>
  </si>
  <si>
    <t>Average</t>
  </si>
  <si>
    <r>
      <t>Pion Measurements:</t>
    </r>
    <r>
      <rPr>
        <b/>
        <sz val="10"/>
        <rFont val="Times New Roman"/>
        <family val="1"/>
      </rPr>
      <t xml:space="preserve">  (Charge 30 sec each)</t>
    </r>
  </si>
  <si>
    <t>Reading (full voltage) Q1: -300</t>
  </si>
  <si>
    <t>nC</t>
  </si>
  <si>
    <t>Reading (half voltage) Q2: -150</t>
  </si>
  <si>
    <r>
      <t>Pion = [(4/3) - (Q1/3Q2)]</t>
    </r>
    <r>
      <rPr>
        <b/>
        <vertAlign val="superscript"/>
        <sz val="10"/>
        <rFont val="Times New Roman"/>
        <family val="1"/>
      </rPr>
      <t>-1</t>
    </r>
    <r>
      <rPr>
        <b/>
        <sz val="10"/>
        <rFont val="Times New Roman"/>
        <family val="1"/>
      </rPr>
      <t xml:space="preserve"> =</t>
    </r>
  </si>
  <si>
    <r>
      <t>Source Strength Calculations:  Sk (</t>
    </r>
    <r>
      <rPr>
        <b/>
        <sz val="12"/>
        <rFont val="Symbol"/>
        <family val="1"/>
        <charset val="2"/>
      </rPr>
      <t>m</t>
    </r>
    <r>
      <rPr>
        <b/>
        <sz val="12"/>
        <rFont val="Times New Roman"/>
        <family val="1"/>
      </rPr>
      <t>Gy m</t>
    </r>
    <r>
      <rPr>
        <b/>
        <vertAlign val="superscript"/>
        <sz val="12"/>
        <rFont val="Times New Roman"/>
        <family val="1"/>
      </rPr>
      <t>2</t>
    </r>
    <r>
      <rPr>
        <b/>
        <sz val="12"/>
        <rFont val="Times New Roman"/>
        <family val="1"/>
      </rPr>
      <t>h</t>
    </r>
    <r>
      <rPr>
        <b/>
        <vertAlign val="superscript"/>
        <sz val="12"/>
        <rFont val="Times New Roman"/>
        <family val="1"/>
      </rPr>
      <t>-1</t>
    </r>
    <r>
      <rPr>
        <b/>
        <sz val="12"/>
        <rFont val="Times New Roman"/>
        <family val="1"/>
      </rPr>
      <t>) = R x C</t>
    </r>
    <r>
      <rPr>
        <b/>
        <vertAlign val="subscript"/>
        <sz val="12"/>
        <rFont val="Times New Roman"/>
        <family val="1"/>
      </rPr>
      <t>TP</t>
    </r>
    <r>
      <rPr>
        <b/>
        <sz val="12"/>
        <rFont val="Times New Roman"/>
        <family val="1"/>
      </rPr>
      <t xml:space="preserve"> x C</t>
    </r>
    <r>
      <rPr>
        <b/>
        <vertAlign val="subscript"/>
        <sz val="12"/>
        <rFont val="Times New Roman"/>
        <family val="1"/>
      </rPr>
      <t>E</t>
    </r>
    <r>
      <rPr>
        <b/>
        <sz val="12"/>
        <rFont val="Times New Roman"/>
        <family val="1"/>
      </rPr>
      <t xml:space="preserve"> x C</t>
    </r>
    <r>
      <rPr>
        <b/>
        <vertAlign val="subscript"/>
        <sz val="12"/>
        <rFont val="Times New Roman"/>
        <family val="1"/>
      </rPr>
      <t>wc</t>
    </r>
    <r>
      <rPr>
        <b/>
        <sz val="12"/>
        <rFont val="Times New Roman"/>
        <family val="1"/>
      </rPr>
      <t xml:space="preserve"> x Pion</t>
    </r>
  </si>
  <si>
    <t>R   =</t>
  </si>
  <si>
    <t>Avg. Reading at full voltage at position of max. response</t>
  </si>
  <si>
    <r>
      <t>C</t>
    </r>
    <r>
      <rPr>
        <b/>
        <vertAlign val="subscript"/>
        <sz val="9"/>
        <rFont val="Times New Roman"/>
        <family val="1"/>
      </rPr>
      <t xml:space="preserve">TP </t>
    </r>
    <r>
      <rPr>
        <b/>
        <sz val="9"/>
        <rFont val="Times New Roman"/>
        <family val="1"/>
      </rPr>
      <t>=</t>
    </r>
  </si>
  <si>
    <t>Temperature and pressure correction factor</t>
  </si>
  <si>
    <r>
      <t>C</t>
    </r>
    <r>
      <rPr>
        <b/>
        <vertAlign val="subscript"/>
        <sz val="9"/>
        <rFont val="Times New Roman"/>
        <family val="1"/>
      </rPr>
      <t xml:space="preserve">E </t>
    </r>
    <r>
      <rPr>
        <b/>
        <sz val="9"/>
        <rFont val="Times New Roman"/>
        <family val="1"/>
      </rPr>
      <t xml:space="preserve"> =</t>
    </r>
  </si>
  <si>
    <t>Electrometer Calibration Factor</t>
  </si>
  <si>
    <t>Cwc =</t>
  </si>
  <si>
    <t>Well-chambered calibration factor</t>
  </si>
  <si>
    <r>
      <t>P</t>
    </r>
    <r>
      <rPr>
        <b/>
        <vertAlign val="subscript"/>
        <sz val="9"/>
        <rFont val="Times New Roman"/>
        <family val="1"/>
      </rPr>
      <t xml:space="preserve">ion </t>
    </r>
    <r>
      <rPr>
        <b/>
        <sz val="9"/>
        <rFont val="Times New Roman"/>
        <family val="1"/>
      </rPr>
      <t xml:space="preserve"> =</t>
    </r>
  </si>
  <si>
    <t>Recombination Corr. Factor</t>
  </si>
  <si>
    <r>
      <t>Calculated S</t>
    </r>
    <r>
      <rPr>
        <b/>
        <vertAlign val="subscript"/>
        <sz val="10"/>
        <rFont val="Times New Roman"/>
        <family val="1"/>
      </rPr>
      <t>K</t>
    </r>
    <r>
      <rPr>
        <b/>
        <sz val="10"/>
        <rFont val="Times New Roman"/>
        <family val="1"/>
      </rPr>
      <t xml:space="preserve">  =</t>
    </r>
  </si>
  <si>
    <r>
      <t>(</t>
    </r>
    <r>
      <rPr>
        <b/>
        <sz val="10"/>
        <rFont val="Symbol"/>
        <family val="1"/>
        <charset val="2"/>
      </rPr>
      <t>m</t>
    </r>
    <r>
      <rPr>
        <b/>
        <sz val="10"/>
        <rFont val="Times New Roman"/>
        <family val="1"/>
      </rPr>
      <t>Gy m</t>
    </r>
    <r>
      <rPr>
        <b/>
        <vertAlign val="superscript"/>
        <sz val="10"/>
        <rFont val="Times New Roman"/>
        <family val="1"/>
      </rPr>
      <t>2</t>
    </r>
    <r>
      <rPr>
        <b/>
        <sz val="10"/>
        <rFont val="Times New Roman"/>
        <family val="1"/>
      </rPr>
      <t>h</t>
    </r>
    <r>
      <rPr>
        <b/>
        <vertAlign val="superscript"/>
        <sz val="10"/>
        <rFont val="Times New Roman"/>
        <family val="1"/>
      </rPr>
      <t>-1</t>
    </r>
    <r>
      <rPr>
        <b/>
        <sz val="10"/>
        <rFont val="Times New Roman"/>
        <family val="1"/>
      </rPr>
      <t>)</t>
    </r>
  </si>
  <si>
    <t xml:space="preserve"> =</t>
  </si>
  <si>
    <t>GBq   =</t>
  </si>
  <si>
    <t>Curies</t>
  </si>
  <si>
    <t>at Calibration</t>
  </si>
  <si>
    <t xml:space="preserve">Manufaturer's Calibration: </t>
  </si>
  <si>
    <t>Activity stated by manufacturer</t>
  </si>
  <si>
    <t>Manufacturer's source strength on</t>
  </si>
  <si>
    <t>Date and Time(Local):</t>
  </si>
  <si>
    <t>Decay Factor</t>
  </si>
  <si>
    <r>
      <t>U (</t>
    </r>
    <r>
      <rPr>
        <b/>
        <sz val="10"/>
        <rFont val="Symbol"/>
        <family val="1"/>
        <charset val="2"/>
      </rPr>
      <t>m</t>
    </r>
    <r>
      <rPr>
        <b/>
        <sz val="10"/>
        <rFont val="Times New Roman"/>
        <family val="1"/>
      </rPr>
      <t>Gy m</t>
    </r>
    <r>
      <rPr>
        <b/>
        <vertAlign val="superscript"/>
        <sz val="10"/>
        <rFont val="Times New Roman"/>
        <family val="1"/>
      </rPr>
      <t>2</t>
    </r>
    <r>
      <rPr>
        <b/>
        <sz val="10"/>
        <rFont val="Times New Roman"/>
        <family val="1"/>
      </rPr>
      <t>h</t>
    </r>
    <r>
      <rPr>
        <b/>
        <vertAlign val="superscript"/>
        <sz val="10"/>
        <rFont val="Times New Roman"/>
        <family val="1"/>
      </rPr>
      <t>-1</t>
    </r>
    <r>
      <rPr>
        <b/>
        <sz val="10"/>
        <rFont val="Times New Roman"/>
        <family val="1"/>
      </rPr>
      <t>)</t>
    </r>
  </si>
  <si>
    <t>Activity on Console</t>
  </si>
  <si>
    <r>
      <t>U (</t>
    </r>
    <r>
      <rPr>
        <sz val="10"/>
        <rFont val="Symbol"/>
        <family val="1"/>
        <charset val="2"/>
      </rPr>
      <t>m</t>
    </r>
    <r>
      <rPr>
        <sz val="10"/>
        <rFont val="Times New Roman"/>
        <family val="1"/>
      </rPr>
      <t>Gy m</t>
    </r>
    <r>
      <rPr>
        <vertAlign val="superscript"/>
        <sz val="10"/>
        <rFont val="Times New Roman"/>
        <family val="1"/>
      </rPr>
      <t>2</t>
    </r>
    <r>
      <rPr>
        <sz val="10"/>
        <rFont val="Times New Roman"/>
        <family val="1"/>
      </rPr>
      <t>h</t>
    </r>
    <r>
      <rPr>
        <vertAlign val="superscript"/>
        <sz val="10"/>
        <rFont val="Times New Roman"/>
        <family val="1"/>
      </rPr>
      <t>-1</t>
    </r>
    <r>
      <rPr>
        <sz val="10"/>
        <rFont val="Times New Roman"/>
        <family val="1"/>
      </rPr>
      <t>)</t>
    </r>
  </si>
  <si>
    <t>Activity at present, Manufacturer's calibration</t>
  </si>
  <si>
    <t>Activity Calculated at present, CCSEO calibration</t>
  </si>
  <si>
    <r>
      <t>% Variation WRT console (%VAR</t>
    </r>
    <r>
      <rPr>
        <b/>
        <vertAlign val="subscript"/>
        <sz val="9"/>
        <rFont val="Times New Roman"/>
        <family val="1"/>
      </rPr>
      <t>1</t>
    </r>
    <r>
      <rPr>
        <b/>
        <sz val="9"/>
        <rFont val="Times New Roman"/>
        <family val="1"/>
      </rPr>
      <t>)*</t>
    </r>
  </si>
  <si>
    <t>%</t>
  </si>
  <si>
    <r>
      <t>% Variation WRT Manufacturer's calibration (%VAR</t>
    </r>
    <r>
      <rPr>
        <b/>
        <vertAlign val="subscript"/>
        <sz val="9"/>
        <rFont val="Times New Roman"/>
        <family val="1"/>
      </rPr>
      <t>2</t>
    </r>
    <r>
      <rPr>
        <b/>
        <sz val="9"/>
        <rFont val="Times New Roman"/>
        <family val="1"/>
      </rPr>
      <t>)*</t>
    </r>
  </si>
  <si>
    <t xml:space="preserve">Signature: </t>
  </si>
  <si>
    <t xml:space="preserve">Date:  </t>
  </si>
  <si>
    <t>Flexisource No.:</t>
  </si>
  <si>
    <t>Determination of Sweet spot</t>
  </si>
  <si>
    <r>
      <t xml:space="preserve">NEW Src Calibration of </t>
    </r>
    <r>
      <rPr>
        <b/>
        <u/>
        <vertAlign val="superscript"/>
        <sz val="11"/>
        <rFont val="Times New Roman"/>
        <family val="1"/>
      </rPr>
      <t>192</t>
    </r>
    <r>
      <rPr>
        <b/>
        <u/>
        <sz val="11"/>
        <rFont val="Times New Roman"/>
        <family val="1"/>
      </rPr>
      <t>Ir HDR Source (Flexisource)</t>
    </r>
  </si>
  <si>
    <r>
      <t xml:space="preserve">EXIT Src Calibration of </t>
    </r>
    <r>
      <rPr>
        <b/>
        <u/>
        <vertAlign val="superscript"/>
        <sz val="11"/>
        <rFont val="Times New Roman"/>
        <family val="1"/>
      </rPr>
      <t>192</t>
    </r>
    <r>
      <rPr>
        <b/>
        <u/>
        <sz val="11"/>
        <rFont val="Times New Roman"/>
        <family val="1"/>
      </rPr>
      <t>Ir HDR Source (Flexisource)</t>
    </r>
  </si>
  <si>
    <t>Department of Medical Physics, Cancer Centre of South Eastern Ontario @ KGH</t>
  </si>
  <si>
    <t>Iridium-192 HDR Brachytherapy Source (Flexisource) Decay Chart</t>
  </si>
  <si>
    <t>Day</t>
  </si>
  <si>
    <t>Date</t>
  </si>
  <si>
    <t>*Source Strength</t>
  </si>
  <si>
    <t>Number</t>
  </si>
  <si>
    <t>(At 12:00)</t>
  </si>
  <si>
    <t>(U)</t>
  </si>
  <si>
    <r>
      <t xml:space="preserve">* NOTE: Source Air Kerma Strength (U) must be within </t>
    </r>
    <r>
      <rPr>
        <b/>
        <sz val="12"/>
        <rFont val="Symbol"/>
        <family val="1"/>
        <charset val="2"/>
      </rPr>
      <t>±</t>
    </r>
    <r>
      <rPr>
        <b/>
        <sz val="12"/>
        <rFont val="Times New Roman"/>
        <family val="1"/>
      </rPr>
      <t>100 U of the source strength value on the treatment delivery unit (TDU)</t>
    </r>
  </si>
  <si>
    <r>
      <t>1 U  = 1cGy.cm</t>
    </r>
    <r>
      <rPr>
        <b/>
        <vertAlign val="superscript"/>
        <sz val="12"/>
        <rFont val="Times New Roman"/>
        <family val="1"/>
      </rPr>
      <t>2</t>
    </r>
    <r>
      <rPr>
        <b/>
        <sz val="12"/>
        <rFont val="Times New Roman"/>
        <family val="1"/>
      </rPr>
      <t>.h</t>
    </r>
    <r>
      <rPr>
        <b/>
        <vertAlign val="superscript"/>
        <sz val="12"/>
        <rFont val="Times New Roman"/>
        <family val="1"/>
      </rPr>
      <t>-1</t>
    </r>
    <r>
      <rPr>
        <b/>
        <sz val="12"/>
        <rFont val="Times New Roman"/>
        <family val="1"/>
      </rPr>
      <t xml:space="preserve"> = 1</t>
    </r>
    <r>
      <rPr>
        <b/>
        <sz val="12"/>
        <rFont val="Symbol"/>
        <family val="1"/>
        <charset val="2"/>
      </rPr>
      <t>m</t>
    </r>
    <r>
      <rPr>
        <b/>
        <sz val="12"/>
        <rFont val="Times New Roman"/>
        <family val="1"/>
      </rPr>
      <t>Gy.m</t>
    </r>
    <r>
      <rPr>
        <b/>
        <vertAlign val="superscript"/>
        <sz val="12"/>
        <rFont val="Times New Roman"/>
        <family val="1"/>
      </rPr>
      <t>2</t>
    </r>
    <r>
      <rPr>
        <b/>
        <sz val="12"/>
        <rFont val="Times New Roman"/>
        <family val="1"/>
      </rPr>
      <t>.h</t>
    </r>
    <r>
      <rPr>
        <b/>
        <vertAlign val="superscript"/>
        <sz val="12"/>
        <rFont val="Times New Roman"/>
        <family val="1"/>
      </rPr>
      <t>-1</t>
    </r>
  </si>
  <si>
    <t xml:space="preserve"> 1 Curie = 4070 U</t>
  </si>
  <si>
    <t xml:space="preserve"> 1 GBq = 110 U</t>
  </si>
  <si>
    <t>Date and Time (CET):</t>
  </si>
  <si>
    <t>CCSEO Batch Number:</t>
  </si>
  <si>
    <t>Date of source installation @ CCSEO:</t>
  </si>
  <si>
    <t>Date &amp; Time (CET) of Calibration</t>
  </si>
  <si>
    <t>GBq</t>
  </si>
  <si>
    <t>Manufacturer's Calibration:</t>
  </si>
  <si>
    <t>Flexisource No:</t>
  </si>
  <si>
    <t>Radiation survey forms complete</t>
  </si>
  <si>
    <t>Daily pre-treatment QA records complete</t>
  </si>
  <si>
    <t>Decay chart complete &amp; posted</t>
  </si>
  <si>
    <t>Source position accuracy - part 2 autoradiograph</t>
  </si>
  <si>
    <t>Battery check in Flashlight</t>
  </si>
  <si>
    <t>TCP at time of interruption</t>
  </si>
  <si>
    <t>AK Strength</t>
  </si>
  <si>
    <t>Last Channel</t>
  </si>
  <si>
    <t>Last Dwell</t>
  </si>
  <si>
    <t>Treatment Details (Actualized)</t>
  </si>
  <si>
    <t>TRAK</t>
  </si>
  <si>
    <t>Radiation Time (sec)</t>
  </si>
  <si>
    <t>Remaining Time (sec)</t>
  </si>
  <si>
    <t>Power failure recovery</t>
  </si>
  <si>
    <t>"Terminate" QA Plan</t>
  </si>
  <si>
    <t>Plan Name</t>
  </si>
  <si>
    <t>Dwell time (sec)</t>
  </si>
  <si>
    <t>TCP at time of reset</t>
  </si>
  <si>
    <t>Treatment Details (Delivered) for "Terminated" Plan</t>
  </si>
  <si>
    <t>Radiation time (sec)</t>
  </si>
  <si>
    <t>"Recovery" QA Plan</t>
  </si>
  <si>
    <t>Calculated dwell time for 40700U</t>
  </si>
  <si>
    <t>Treatment Details (Delivered) for "Recovery" Plan</t>
  </si>
  <si>
    <t>Performed by:</t>
  </si>
  <si>
    <t>Mechanical integrity of applicators &amp; transfer tubes</t>
  </si>
  <si>
    <t>Mechanical Integrity of Applicators &amp; Transfer Tubes</t>
  </si>
  <si>
    <t>Date Completed</t>
  </si>
  <si>
    <t>Completed By</t>
  </si>
  <si>
    <t>Flexible implant transfer tubes</t>
  </si>
  <si>
    <t>(Physics)</t>
  </si>
  <si>
    <t>Lung Catheter</t>
  </si>
  <si>
    <t>Cervix-CT/MR Ring Applicator</t>
  </si>
  <si>
    <t>Set 1</t>
  </si>
  <si>
    <t>(RT)</t>
  </si>
  <si>
    <t>Set 2</t>
  </si>
  <si>
    <t>Vaginal Vault Stainless Steel Applicator</t>
  </si>
  <si>
    <t>Bonvoisin-Gerard Esophageal Applicator</t>
  </si>
  <si>
    <t>6mm</t>
  </si>
  <si>
    <t>8mm</t>
  </si>
  <si>
    <t>10mm</t>
  </si>
  <si>
    <r>
      <t>192</t>
    </r>
    <r>
      <rPr>
        <b/>
        <sz val="14"/>
        <color indexed="8"/>
        <rFont val="Arial Narrow"/>
        <family val="2"/>
      </rPr>
      <t xml:space="preserve">Ir HDR SOURCE </t>
    </r>
    <r>
      <rPr>
        <b/>
        <u val="double"/>
        <sz val="14"/>
        <color indexed="8"/>
        <rFont val="Arial Narrow"/>
        <family val="2"/>
      </rPr>
      <t>RECEIPT</t>
    </r>
    <r>
      <rPr>
        <b/>
        <sz val="14"/>
        <color indexed="8"/>
        <rFont val="Arial Narrow"/>
        <family val="2"/>
      </rPr>
      <t xml:space="preserve"> RADIATION SURVEY FORM</t>
    </r>
  </si>
  <si>
    <t>Date of Receipt:</t>
  </si>
  <si>
    <r>
      <t>192</t>
    </r>
    <r>
      <rPr>
        <b/>
        <sz val="12"/>
        <color indexed="8"/>
        <rFont val="Arial Narrow"/>
        <family val="2"/>
      </rPr>
      <t>Ir Source Information from Manufacturer</t>
    </r>
  </si>
  <si>
    <t>Serial Number:</t>
  </si>
  <si>
    <t>Source Strength:</t>
  </si>
  <si>
    <t>RADIATION SURVEY UPON NEW SOURCE RECEIPT</t>
  </si>
  <si>
    <t>(NOTE: 1 mSv = 100 mR and 1 mR = 10 mSv/h)</t>
  </si>
  <si>
    <t>MEASURING SURVEY METER</t>
  </si>
  <si>
    <t>Make/Model:</t>
  </si>
  <si>
    <t>S/N:</t>
  </si>
  <si>
    <t>TRANSPORT BUCKET/DOCUMENTATION</t>
  </si>
  <si>
    <t>ACCEPTABLE?</t>
  </si>
  <si>
    <t>Tranport Bucket is NOT damaged</t>
  </si>
  <si>
    <t>Essential source RECEIPT documets present (source handling procedure, Certificate for Sealed Sources, Source Data Plate, Delivery note)</t>
  </si>
  <si>
    <t>Source RETURN Shipment documets present</t>
  </si>
  <si>
    <t>LOCATION</t>
  </si>
  <si>
    <r>
      <t>MAXIMUM EXPOSURE RATES AROUND THE TRASPORT BUCKET (</t>
    </r>
    <r>
      <rPr>
        <b/>
        <sz val="12"/>
        <color indexed="8"/>
        <rFont val="Symbol"/>
        <family val="1"/>
        <charset val="2"/>
      </rPr>
      <t>m</t>
    </r>
    <r>
      <rPr>
        <b/>
        <sz val="12"/>
        <color indexed="8"/>
        <rFont val="Arial Narrow"/>
        <family val="2"/>
      </rPr>
      <t>Sv/h):</t>
    </r>
  </si>
  <si>
    <r>
      <t>Max dose rate at surface of transport bucket (D</t>
    </r>
    <r>
      <rPr>
        <vertAlign val="subscript"/>
        <sz val="11"/>
        <color indexed="8"/>
        <rFont val="Arial Narrow"/>
        <family val="2"/>
      </rPr>
      <t>S</t>
    </r>
    <r>
      <rPr>
        <sz val="11"/>
        <color indexed="8"/>
        <rFont val="Arial Narrow"/>
        <family val="2"/>
      </rPr>
      <t>)</t>
    </r>
  </si>
  <si>
    <r>
      <t>Max dose rate at 1 meter from surface of transport bucket (D</t>
    </r>
    <r>
      <rPr>
        <vertAlign val="subscript"/>
        <sz val="11"/>
        <color indexed="8"/>
        <rFont val="Arial Narrow"/>
        <family val="2"/>
      </rPr>
      <t>1m</t>
    </r>
    <r>
      <rPr>
        <sz val="11"/>
        <color indexed="8"/>
        <rFont val="Arial Narrow"/>
        <family val="2"/>
      </rPr>
      <t>)</t>
    </r>
  </si>
  <si>
    <t>Corridor on north side of bunker</t>
  </si>
  <si>
    <r>
      <t>Contamination Measurements (on a wipe on an area of 300 cm</t>
    </r>
    <r>
      <rPr>
        <sz val="11"/>
        <color indexed="8"/>
        <rFont val="Tempus Sans ITC"/>
        <family val="5"/>
      </rPr>
      <t>²</t>
    </r>
    <r>
      <rPr>
        <sz val="11"/>
        <color indexed="8"/>
        <rFont val="Arial Narrow"/>
        <family val="2"/>
      </rPr>
      <t>)</t>
    </r>
  </si>
  <si>
    <r>
      <t>NOTE: Acceptable values - D</t>
    </r>
    <r>
      <rPr>
        <i/>
        <vertAlign val="subscript"/>
        <sz val="9"/>
        <color indexed="8"/>
        <rFont val="Arial Narrow"/>
        <family val="2"/>
      </rPr>
      <t>s</t>
    </r>
    <r>
      <rPr>
        <i/>
        <sz val="9"/>
        <color indexed="8"/>
        <rFont val="Arial Narrow"/>
        <family val="2"/>
      </rPr>
      <t xml:space="preserve"> ≤ 500 </t>
    </r>
    <r>
      <rPr>
        <sz val="9"/>
        <color indexed="8"/>
        <rFont val="Symbol"/>
        <family val="1"/>
        <charset val="2"/>
      </rPr>
      <t>m</t>
    </r>
    <r>
      <rPr>
        <i/>
        <sz val="9"/>
        <color indexed="8"/>
        <rFont val="Arial Narrow"/>
        <family val="2"/>
      </rPr>
      <t>Sv/h, D</t>
    </r>
    <r>
      <rPr>
        <i/>
        <vertAlign val="subscript"/>
        <sz val="9"/>
        <color indexed="8"/>
        <rFont val="Arial Narrow"/>
        <family val="2"/>
      </rPr>
      <t>1m</t>
    </r>
    <r>
      <rPr>
        <i/>
        <sz val="9"/>
        <color indexed="8"/>
        <rFont val="Arial Narrow"/>
        <family val="2"/>
      </rPr>
      <t xml:space="preserve"> ≤ 10 </t>
    </r>
    <r>
      <rPr>
        <sz val="9"/>
        <color indexed="8"/>
        <rFont val="Symbol"/>
        <family val="1"/>
        <charset val="2"/>
      </rPr>
      <t>m</t>
    </r>
    <r>
      <rPr>
        <i/>
        <sz val="9"/>
        <color indexed="8"/>
        <rFont val="Arial Narrow"/>
        <family val="2"/>
      </rPr>
      <t>Sv/h, Contamination ≤ 0.4 Bq/cm</t>
    </r>
    <r>
      <rPr>
        <sz val="9"/>
        <color indexed="8"/>
        <rFont val="Tempus Sans ITC"/>
        <family val="5"/>
      </rPr>
      <t>²</t>
    </r>
    <r>
      <rPr>
        <i/>
        <sz val="9"/>
        <color indexed="8"/>
        <rFont val="Arial Narrow"/>
        <family val="2"/>
      </rPr>
      <t>)</t>
    </r>
  </si>
  <si>
    <t>STORAGE AND INVENTORY</t>
  </si>
  <si>
    <t>Source bucket storage location:</t>
  </si>
  <si>
    <r>
      <t xml:space="preserve">Source information entered in the </t>
    </r>
    <r>
      <rPr>
        <vertAlign val="superscript"/>
        <sz val="11"/>
        <color indexed="8"/>
        <rFont val="Arial Narrow"/>
        <family val="2"/>
      </rPr>
      <t>192</t>
    </r>
    <r>
      <rPr>
        <sz val="11"/>
        <color indexed="8"/>
        <rFont val="Arial Narrow"/>
        <family val="2"/>
      </rPr>
      <t>Ir Source Inventroy Control Form?</t>
    </r>
  </si>
  <si>
    <t>Signature of Surveyor:</t>
  </si>
  <si>
    <t>Date of Survey:</t>
  </si>
  <si>
    <r>
      <rPr>
        <b/>
        <sz val="14"/>
        <color indexed="8"/>
        <rFont val="Arial Narrow"/>
        <family val="2"/>
      </rPr>
      <t xml:space="preserve">NEW </t>
    </r>
    <r>
      <rPr>
        <b/>
        <vertAlign val="superscript"/>
        <sz val="14"/>
        <color indexed="8"/>
        <rFont val="Arial Narrow"/>
        <family val="2"/>
      </rPr>
      <t>192</t>
    </r>
    <r>
      <rPr>
        <b/>
        <sz val="14"/>
        <color indexed="8"/>
        <rFont val="Arial Narrow"/>
        <family val="2"/>
      </rPr>
      <t xml:space="preserve">Ir SOURCE </t>
    </r>
    <r>
      <rPr>
        <b/>
        <sz val="14"/>
        <color indexed="8"/>
        <rFont val="Arial Narrow"/>
        <family val="2"/>
      </rPr>
      <t>RADIATION SURVEY FORM</t>
    </r>
  </si>
  <si>
    <t>RADIATION SURVEYS FOR THE FLEXITRON UNIT WITH THE NEW SOURCE</t>
  </si>
  <si>
    <r>
      <t>MAXIMUM EXPOSURE RATES NEAR THE FLEXITRON UNIT WITH SOURCE FULLY RETRACTED (</t>
    </r>
    <r>
      <rPr>
        <b/>
        <sz val="12"/>
        <color indexed="8"/>
        <rFont val="Symbol"/>
        <family val="1"/>
        <charset val="2"/>
      </rPr>
      <t>m</t>
    </r>
    <r>
      <rPr>
        <b/>
        <sz val="12"/>
        <color indexed="8"/>
        <rFont val="Arial Narrow"/>
        <family val="2"/>
      </rPr>
      <t>Sv/h):</t>
    </r>
  </si>
  <si>
    <r>
      <t xml:space="preserve">At the surface of the unit </t>
    </r>
    <r>
      <rPr>
        <i/>
        <sz val="11"/>
        <color indexed="8"/>
        <rFont val="Arial Narrow"/>
        <family val="2"/>
      </rPr>
      <t xml:space="preserve">(allowed max </t>
    </r>
    <r>
      <rPr>
        <i/>
        <sz val="11"/>
        <color indexed="8"/>
        <rFont val="Calibri"/>
        <family val="2"/>
      </rPr>
      <t>≤</t>
    </r>
    <r>
      <rPr>
        <i/>
        <sz val="11"/>
        <color indexed="8"/>
        <rFont val="Arial Narrow"/>
        <family val="2"/>
      </rPr>
      <t xml:space="preserve"> 500 </t>
    </r>
    <r>
      <rPr>
        <i/>
        <sz val="11"/>
        <color indexed="8"/>
        <rFont val="Symbol"/>
        <family val="1"/>
        <charset val="2"/>
      </rPr>
      <t>m</t>
    </r>
    <r>
      <rPr>
        <i/>
        <sz val="11"/>
        <color indexed="8"/>
        <rFont val="Arial Narrow"/>
        <family val="2"/>
      </rPr>
      <t>Sv/h or 50 mR/h)</t>
    </r>
  </si>
  <si>
    <r>
      <t xml:space="preserve">At 1 meter from the surface of the unit </t>
    </r>
    <r>
      <rPr>
        <i/>
        <sz val="11"/>
        <color indexed="8"/>
        <rFont val="Arial Narrow"/>
        <family val="2"/>
      </rPr>
      <t xml:space="preserve">(allowed max </t>
    </r>
    <r>
      <rPr>
        <i/>
        <sz val="11"/>
        <color indexed="8"/>
        <rFont val="Calibri"/>
        <family val="2"/>
      </rPr>
      <t>≤</t>
    </r>
    <r>
      <rPr>
        <i/>
        <sz val="11"/>
        <color indexed="8"/>
        <rFont val="Arial Narrow"/>
        <family val="2"/>
      </rPr>
      <t xml:space="preserve"> 10 </t>
    </r>
    <r>
      <rPr>
        <i/>
        <sz val="11"/>
        <color indexed="8"/>
        <rFont val="Symbol"/>
        <family val="1"/>
        <charset val="2"/>
      </rPr>
      <t>m</t>
    </r>
    <r>
      <rPr>
        <i/>
        <sz val="11"/>
        <color indexed="8"/>
        <rFont val="Arial Narrow"/>
        <family val="2"/>
      </rPr>
      <t>Sv/h or 1 mR/h)</t>
    </r>
  </si>
  <si>
    <r>
      <t>MAXIMUM EXPOSURE RATES AT ADJACENT AREAS WITH SOURCE EXTENDED (</t>
    </r>
    <r>
      <rPr>
        <b/>
        <sz val="12"/>
        <color indexed="8"/>
        <rFont val="Symbol"/>
        <family val="1"/>
        <charset val="2"/>
      </rPr>
      <t>m</t>
    </r>
    <r>
      <rPr>
        <b/>
        <sz val="12"/>
        <color indexed="8"/>
        <rFont val="Arial Narrow"/>
        <family val="2"/>
      </rPr>
      <t>Sv/h):</t>
    </r>
  </si>
  <si>
    <t>HDR Suite Entrance door (@ surface only)</t>
  </si>
  <si>
    <t>HDR Control Console</t>
  </si>
  <si>
    <t>Storage Rooms (southwest)</t>
  </si>
  <si>
    <t>Entrance Corridor (north)</t>
  </si>
  <si>
    <t>SOURCE LEAKAGE TEST RESULTS ON SOURCE CERTIFICATE CHECKED</t>
  </si>
  <si>
    <r>
      <t>192</t>
    </r>
    <r>
      <rPr>
        <b/>
        <sz val="14"/>
        <color indexed="8"/>
        <rFont val="Arial Narrow"/>
        <family val="2"/>
      </rPr>
      <t xml:space="preserve">Ir HDR SOURCE </t>
    </r>
    <r>
      <rPr>
        <b/>
        <u val="double"/>
        <sz val="14"/>
        <color indexed="8"/>
        <rFont val="Arial Narrow"/>
        <family val="2"/>
      </rPr>
      <t>RETURN</t>
    </r>
    <r>
      <rPr>
        <b/>
        <sz val="14"/>
        <color indexed="8"/>
        <rFont val="Arial Narrow"/>
        <family val="2"/>
      </rPr>
      <t xml:space="preserve"> RADIATION SURVEY FORM</t>
    </r>
  </si>
  <si>
    <t>Date of Return:</t>
  </si>
  <si>
    <t>RADIATION SURVEY UPON SOURCE RETURN</t>
  </si>
  <si>
    <t>Correct source activity in GBq is written on the two "II-Yellow" labels (that are marked "Return" and pasted on opposite sides of the transport bucket)</t>
  </si>
  <si>
    <t>Correct source activity in GBq is written on FlexiSource Return Form</t>
  </si>
  <si>
    <t>3 Copies of the Shippers Declaration Form for Dangerous Goods is attached</t>
  </si>
  <si>
    <r>
      <t>Corridor on north side of bunker</t>
    </r>
    <r>
      <rPr>
        <vertAlign val="superscript"/>
        <sz val="11"/>
        <color indexed="8"/>
        <rFont val="Arial Narrow"/>
        <family val="2"/>
      </rPr>
      <t>1</t>
    </r>
  </si>
  <si>
    <t>Other areas</t>
  </si>
  <si>
    <r>
      <t>Transport Index</t>
    </r>
    <r>
      <rPr>
        <vertAlign val="superscript"/>
        <sz val="11"/>
        <color indexed="8"/>
        <rFont val="Arial Narrow"/>
        <family val="2"/>
      </rPr>
      <t>2</t>
    </r>
    <r>
      <rPr>
        <sz val="11"/>
        <color indexed="8"/>
        <rFont val="Arial Narrow"/>
        <family val="2"/>
      </rPr>
      <t xml:space="preserve"> (TI) = [D</t>
    </r>
    <r>
      <rPr>
        <vertAlign val="subscript"/>
        <sz val="11"/>
        <color indexed="8"/>
        <rFont val="Arial Narrow"/>
        <family val="2"/>
      </rPr>
      <t>1m</t>
    </r>
    <r>
      <rPr>
        <sz val="11"/>
        <color indexed="8"/>
        <rFont val="Arial Narrow"/>
        <family val="2"/>
      </rPr>
      <t xml:space="preserve"> (in </t>
    </r>
    <r>
      <rPr>
        <sz val="11"/>
        <color indexed="8"/>
        <rFont val="Symbol"/>
        <family val="1"/>
        <charset val="2"/>
      </rPr>
      <t>m</t>
    </r>
    <r>
      <rPr>
        <sz val="11"/>
        <color indexed="8"/>
        <rFont val="Arial Narrow"/>
        <family val="2"/>
      </rPr>
      <t xml:space="preserve">Sv/h) </t>
    </r>
    <r>
      <rPr>
        <sz val="11"/>
        <color indexed="8"/>
        <rFont val="Symbol"/>
        <family val="1"/>
        <charset val="2"/>
      </rPr>
      <t>¸</t>
    </r>
    <r>
      <rPr>
        <sz val="11"/>
        <color indexed="8"/>
        <rFont val="Arial Narrow"/>
        <family val="2"/>
      </rPr>
      <t xml:space="preserve"> 10] =</t>
    </r>
  </si>
  <si>
    <t>NOTES:</t>
  </si>
  <si>
    <r>
      <rPr>
        <vertAlign val="superscript"/>
        <sz val="10"/>
        <color indexed="8"/>
        <rFont val="Arial Narrow"/>
        <family val="2"/>
      </rPr>
      <t>1</t>
    </r>
    <r>
      <rPr>
        <sz val="10"/>
        <color indexed="8"/>
        <rFont val="Arial Narrow"/>
        <family val="2"/>
      </rPr>
      <t xml:space="preserve"> Measurements outside the Transport Bucket storage area shoub be </t>
    </r>
    <r>
      <rPr>
        <sz val="10"/>
        <color indexed="8"/>
        <rFont val="Calibri"/>
        <family val="2"/>
      </rPr>
      <t>≤</t>
    </r>
    <r>
      <rPr>
        <sz val="10"/>
        <color indexed="8"/>
        <rFont val="Arial Narrow"/>
        <family val="2"/>
      </rPr>
      <t xml:space="preserve"> 2.5 </t>
    </r>
    <r>
      <rPr>
        <sz val="10"/>
        <color indexed="8"/>
        <rFont val="Symbol"/>
        <family val="1"/>
        <charset val="2"/>
      </rPr>
      <t>m</t>
    </r>
    <r>
      <rPr>
        <sz val="10"/>
        <color indexed="8"/>
        <rFont val="Arial Narrow"/>
        <family val="2"/>
      </rPr>
      <t>Sv/h</t>
    </r>
  </si>
  <si>
    <r>
      <rPr>
        <vertAlign val="superscript"/>
        <sz val="10"/>
        <color indexed="8"/>
        <rFont val="Arial Narrow"/>
        <family val="2"/>
      </rPr>
      <t>2</t>
    </r>
    <r>
      <rPr>
        <sz val="10"/>
        <color indexed="8"/>
        <rFont val="Arial Narrow"/>
        <family val="2"/>
      </rPr>
      <t xml:space="preserve"> TI must be rounded up to the 1st decimal place (e.g. 0.11 must be rounded up to 0.2).  TI should be &lt; 0.6; D</t>
    </r>
    <r>
      <rPr>
        <vertAlign val="subscript"/>
        <sz val="10"/>
        <color indexed="8"/>
        <rFont val="Arial Narrow"/>
        <family val="2"/>
      </rPr>
      <t>S</t>
    </r>
    <r>
      <rPr>
        <sz val="10"/>
        <color indexed="8"/>
        <rFont val="Arial Narrow"/>
        <family val="2"/>
      </rPr>
      <t xml:space="preserve"> should not be &gt; 200 </t>
    </r>
    <r>
      <rPr>
        <sz val="10"/>
        <color indexed="8"/>
        <rFont val="Symbol"/>
        <family val="1"/>
        <charset val="2"/>
      </rPr>
      <t>m</t>
    </r>
    <r>
      <rPr>
        <sz val="10"/>
        <color indexed="8"/>
        <rFont val="Arial Narrow"/>
        <family val="2"/>
      </rPr>
      <t xml:space="preserve">Sv/h and contamination activity should be </t>
    </r>
    <r>
      <rPr>
        <sz val="10"/>
        <color indexed="8"/>
        <rFont val="Calibri"/>
        <family val="2"/>
      </rPr>
      <t>≤</t>
    </r>
    <r>
      <rPr>
        <sz val="10"/>
        <color indexed="8"/>
        <rFont val="Arial Narrow"/>
        <family val="2"/>
      </rPr>
      <t xml:space="preserve"> 0.4 Bq/cm</t>
    </r>
    <r>
      <rPr>
        <sz val="10"/>
        <color indexed="8"/>
        <rFont val="Tempus Sans ITC"/>
        <family val="5"/>
      </rPr>
      <t>²</t>
    </r>
  </si>
  <si>
    <r>
      <t xml:space="preserve">DOSE RATE </t>
    </r>
    <r>
      <rPr>
        <sz val="11"/>
        <color indexed="8"/>
        <rFont val="Arial Narrow"/>
        <family val="2"/>
      </rPr>
      <t>(</t>
    </r>
    <r>
      <rPr>
        <sz val="11"/>
        <color indexed="8"/>
        <rFont val="Symbol"/>
        <family val="1"/>
        <charset val="2"/>
      </rPr>
      <t>m</t>
    </r>
    <r>
      <rPr>
        <sz val="11"/>
        <color indexed="8"/>
        <rFont val="Arial Narrow"/>
        <family val="2"/>
      </rPr>
      <t>Sv/h)</t>
    </r>
  </si>
  <si>
    <t>Source is leak free and the surface contamination activity is ~200 Bq (~5 nCi)</t>
  </si>
  <si>
    <t>Calibration Date:</t>
  </si>
  <si>
    <t>&amp; Time:</t>
  </si>
  <si>
    <t>NLF 01 D85E1990</t>
  </si>
  <si>
    <t>C.Joshi</t>
  </si>
  <si>
    <t>Dr. C.Joshi, T.Halsall</t>
  </si>
  <si>
    <t>#39</t>
  </si>
  <si>
    <t>Fluke 451P</t>
  </si>
  <si>
    <t>Bkg</t>
  </si>
  <si>
    <t>NLF 01 D85E2431</t>
  </si>
  <si>
    <t>447GBq</t>
  </si>
  <si>
    <t>20.58 CET</t>
  </si>
  <si>
    <t>N/A</t>
  </si>
  <si>
    <t>&lt;0.4BBq/cm2</t>
  </si>
  <si>
    <t>Dr. C.Joshi</t>
  </si>
  <si>
    <t>#38</t>
  </si>
  <si>
    <t>Fluke 451</t>
  </si>
  <si>
    <t>C.Joshi, T.Halsall</t>
  </si>
  <si>
    <t>432.8 GBq</t>
  </si>
  <si>
    <t>11:58 CET</t>
  </si>
  <si>
    <t>bkg</t>
  </si>
  <si>
    <t>C Joshi / T Hallsal</t>
  </si>
  <si>
    <t>ü</t>
  </si>
  <si>
    <t>Visual communication</t>
  </si>
  <si>
    <t>T.Halsall</t>
  </si>
  <si>
    <t>C.Peters / C.Joshi</t>
  </si>
  <si>
    <t>05 Mar 2018 / 12 Mar 2018</t>
  </si>
  <si>
    <t>C. Joshi</t>
  </si>
  <si>
    <t>for Flexitron console only, yet to sort out Oncentra Prostate</t>
  </si>
  <si>
    <t>Terminate15Mar2018</t>
  </si>
  <si>
    <t>Recover_15Mar2018</t>
  </si>
  <si>
    <t>cjoshi</t>
  </si>
  <si>
    <t>C.Joshi/C Peters</t>
  </si>
  <si>
    <t>Yes</t>
  </si>
  <si>
    <t xml:space="preserve">New Flexible implant 5F transfer tubes commissioned, source position checked consistant </t>
  </si>
  <si>
    <t>with older tubes. Old 5F tubes will be used as stand by (stored in closet)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</si>
</sst>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5">
    <numFmt numFmtId="164" formatCode="[$-409]d\-mmm\-yyyy;@"/>
    <numFmt numFmtId="165" formatCode="0.0"/>
    <numFmt numFmtId="166" formatCode="m/d/yy\ h:mm;@"/>
    <numFmt numFmtId="167" formatCode="h:mm;@"/>
    <numFmt numFmtId="168" formatCode="0.000E+00"/>
    <numFmt numFmtId="169" formatCode="0.0000"/>
    <numFmt numFmtId="170" formatCode="#,##0.000"/>
    <numFmt numFmtId="171" formatCode="0.000"/>
    <numFmt numFmtId="172" formatCode="[$-409]mmmm\ d\,\ yyyy;@"/>
    <numFmt numFmtId="173" formatCode="[$-409]d\-mmm\-yy;@"/>
    <numFmt numFmtId="174" formatCode="mm/dd/yy"/>
    <numFmt numFmtId="175" formatCode="0.00000"/>
    <numFmt numFmtId="176" formatCode="ddd"/>
    <numFmt numFmtId="177" formatCode="[$-F800]dddd\,\ mmmm\ dd\,\ yyyy"/>
    <numFmt numFmtId="178" formatCode="dd\-mmm\-yyyy"/>
  </numFmts>
  <fonts count="82" x14ac:knownFonts="1">
    <font>
      <sz val="10"/>
      <name val="Arial"/>
      <family val="2"/>
    </font>
    <font>
      <b/>
      <sz val="14"/>
      <name val="Arial"/>
      <family val="2"/>
    </font>
    <font>
      <sz val="9"/>
      <name val="Arial"/>
      <family val="2"/>
    </font>
    <font>
      <b/>
      <sz val="9"/>
      <name val="Arial"/>
      <family val="2"/>
    </font>
    <font>
      <b/>
      <sz val="10"/>
      <name val="Arial"/>
      <family val="2"/>
    </font>
    <font>
      <i/>
      <sz val="9"/>
      <name val="Arial"/>
      <family val="2"/>
    </font>
    <font>
      <sz val="10"/>
      <name val="Arial"/>
      <family val="2"/>
    </font>
    <font>
      <b/>
      <u/>
      <sz val="11"/>
      <name val="Times New Roman"/>
      <family val="1"/>
    </font>
    <font>
      <sz val="11"/>
      <name val="Arial"/>
      <family val="2"/>
    </font>
    <font>
      <sz val="10"/>
      <name val="Times New Roman"/>
      <family val="1"/>
    </font>
    <font>
      <b/>
      <u/>
      <vertAlign val="superscript"/>
      <sz val="11"/>
      <name val="Times New Roman"/>
      <family val="1"/>
    </font>
    <font>
      <b/>
      <sz val="10"/>
      <name val="Times New Roman"/>
      <family val="1"/>
    </font>
    <font>
      <b/>
      <sz val="9"/>
      <name val="Times New Roman"/>
      <family val="1"/>
    </font>
    <font>
      <sz val="9"/>
      <name val="Times New Roman"/>
      <family val="1"/>
    </font>
    <font>
      <b/>
      <vertAlign val="subscript"/>
      <sz val="9"/>
      <name val="Times New Roman"/>
      <family val="1"/>
    </font>
    <font>
      <b/>
      <vertAlign val="superscript"/>
      <sz val="9"/>
      <name val="Times New Roman"/>
      <family val="1"/>
    </font>
    <font>
      <b/>
      <sz val="9"/>
      <name val="Symbol"/>
      <family val="1"/>
      <charset val="2"/>
    </font>
    <font>
      <sz val="8"/>
      <name val="Times New Roman"/>
      <family val="1"/>
    </font>
    <font>
      <b/>
      <sz val="8"/>
      <name val="Times New Roman"/>
      <family val="1"/>
    </font>
    <font>
      <b/>
      <vertAlign val="subscript"/>
      <sz val="8"/>
      <name val="Times New Roman"/>
      <family val="1"/>
    </font>
    <font>
      <b/>
      <sz val="8"/>
      <name val="Arial"/>
      <family val="2"/>
    </font>
    <font>
      <b/>
      <u/>
      <sz val="9"/>
      <name val="Times New Roman"/>
      <family val="1"/>
    </font>
    <font>
      <b/>
      <u/>
      <sz val="8"/>
      <name val="Times New Roman"/>
      <family val="1"/>
    </font>
    <font>
      <b/>
      <sz val="14"/>
      <name val="Times New Roman"/>
      <family val="1"/>
    </font>
    <font>
      <sz val="14"/>
      <name val="Arial"/>
      <family val="2"/>
    </font>
    <font>
      <b/>
      <sz val="12"/>
      <name val="Times New Roman"/>
      <family val="1"/>
    </font>
    <font>
      <b/>
      <u/>
      <sz val="10"/>
      <name val="Times New Roman"/>
      <family val="1"/>
    </font>
    <font>
      <b/>
      <vertAlign val="superscript"/>
      <sz val="10"/>
      <name val="Times New Roman"/>
      <family val="1"/>
    </font>
    <font>
      <b/>
      <sz val="12"/>
      <name val="Symbol"/>
      <family val="1"/>
      <charset val="2"/>
    </font>
    <font>
      <b/>
      <vertAlign val="superscript"/>
      <sz val="12"/>
      <name val="Times New Roman"/>
      <family val="1"/>
    </font>
    <font>
      <b/>
      <vertAlign val="subscript"/>
      <sz val="12"/>
      <name val="Times New Roman"/>
      <family val="1"/>
    </font>
    <font>
      <b/>
      <vertAlign val="subscript"/>
      <sz val="10"/>
      <name val="Times New Roman"/>
      <family val="1"/>
    </font>
    <font>
      <b/>
      <sz val="10"/>
      <name val="Symbol"/>
      <family val="1"/>
      <charset val="2"/>
    </font>
    <font>
      <sz val="10"/>
      <name val="Symbol"/>
      <family val="1"/>
      <charset val="2"/>
    </font>
    <font>
      <vertAlign val="superscript"/>
      <sz val="10"/>
      <name val="Times New Roman"/>
      <family val="1"/>
    </font>
    <font>
      <sz val="11"/>
      <name val="Times New Roman"/>
      <family val="1"/>
    </font>
    <font>
      <u/>
      <sz val="8"/>
      <name val="Times New Roman"/>
      <family val="1"/>
    </font>
    <font>
      <b/>
      <sz val="22"/>
      <color indexed="81"/>
      <name val="Tahoma"/>
      <family val="2"/>
    </font>
    <font>
      <sz val="22"/>
      <color indexed="81"/>
      <name val="Tahoma"/>
      <family val="2"/>
    </font>
    <font>
      <b/>
      <sz val="10"/>
      <color indexed="81"/>
      <name val="Tahoma"/>
      <family val="2"/>
    </font>
    <font>
      <sz val="10"/>
      <color indexed="81"/>
      <name val="Tahoma"/>
      <family val="2"/>
    </font>
    <font>
      <b/>
      <sz val="10"/>
      <color indexed="60"/>
      <name val="Times New Roman"/>
      <family val="1"/>
    </font>
    <font>
      <i/>
      <sz val="10"/>
      <name val="Times New Roman"/>
      <family val="1"/>
    </font>
    <font>
      <b/>
      <i/>
      <sz val="11"/>
      <name val="Times New Roman"/>
      <family val="1"/>
    </font>
    <font>
      <b/>
      <u/>
      <sz val="16"/>
      <name val="Times New Roman"/>
      <family val="1"/>
    </font>
    <font>
      <b/>
      <sz val="9"/>
      <name val="Garamond"/>
      <family val="1"/>
    </font>
    <font>
      <sz val="12"/>
      <name val="Times New Roman"/>
      <family val="1"/>
    </font>
    <font>
      <b/>
      <sz val="11"/>
      <name val="Times New Roman"/>
      <family val="1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i/>
      <sz val="10"/>
      <name val="Arial"/>
      <family val="2"/>
    </font>
    <font>
      <i/>
      <sz val="10"/>
      <name val="Arial"/>
      <family val="2"/>
    </font>
    <font>
      <b/>
      <vertAlign val="superscript"/>
      <sz val="14"/>
      <color indexed="8"/>
      <name val="Arial Narrow"/>
      <family val="2"/>
    </font>
    <font>
      <b/>
      <sz val="14"/>
      <color indexed="8"/>
      <name val="Arial Narrow"/>
      <family val="2"/>
    </font>
    <font>
      <b/>
      <u val="double"/>
      <sz val="14"/>
      <color indexed="8"/>
      <name val="Arial Narrow"/>
      <family val="2"/>
    </font>
    <font>
      <sz val="11"/>
      <color indexed="8"/>
      <name val="Arial Narrow"/>
      <family val="2"/>
    </font>
    <font>
      <b/>
      <vertAlign val="superscript"/>
      <sz val="12"/>
      <color indexed="8"/>
      <name val="Arial Narrow"/>
      <family val="2"/>
    </font>
    <font>
      <b/>
      <sz val="12"/>
      <color indexed="8"/>
      <name val="Arial Narrow"/>
      <family val="2"/>
    </font>
    <font>
      <i/>
      <sz val="10"/>
      <color indexed="8"/>
      <name val="Arial Narrow"/>
      <family val="2"/>
    </font>
    <font>
      <b/>
      <sz val="11"/>
      <color indexed="8"/>
      <name val="Arial Narrow"/>
      <family val="2"/>
    </font>
    <font>
      <b/>
      <sz val="12"/>
      <color indexed="8"/>
      <name val="Symbol"/>
      <family val="1"/>
      <charset val="2"/>
    </font>
    <font>
      <vertAlign val="subscript"/>
      <sz val="11"/>
      <color indexed="8"/>
      <name val="Arial Narrow"/>
      <family val="2"/>
    </font>
    <font>
      <sz val="11"/>
      <color indexed="8"/>
      <name val="Tempus Sans ITC"/>
      <family val="5"/>
    </font>
    <font>
      <i/>
      <sz val="9"/>
      <color indexed="8"/>
      <name val="Arial Narrow"/>
      <family val="2"/>
    </font>
    <font>
      <i/>
      <vertAlign val="subscript"/>
      <sz val="9"/>
      <color indexed="8"/>
      <name val="Arial Narrow"/>
      <family val="2"/>
    </font>
    <font>
      <sz val="9"/>
      <color indexed="8"/>
      <name val="Symbol"/>
      <family val="1"/>
      <charset val="2"/>
    </font>
    <font>
      <sz val="9"/>
      <color indexed="8"/>
      <name val="Tempus Sans ITC"/>
      <family val="5"/>
    </font>
    <font>
      <vertAlign val="superscript"/>
      <sz val="11"/>
      <color indexed="8"/>
      <name val="Arial Narrow"/>
      <family val="2"/>
    </font>
    <font>
      <i/>
      <sz val="11"/>
      <color indexed="8"/>
      <name val="Arial Narrow"/>
      <family val="2"/>
    </font>
    <font>
      <i/>
      <sz val="11"/>
      <color indexed="8"/>
      <name val="Calibri"/>
      <family val="2"/>
    </font>
    <font>
      <i/>
      <sz val="11"/>
      <color indexed="8"/>
      <name val="Symbol"/>
      <family val="1"/>
      <charset val="2"/>
    </font>
    <font>
      <sz val="11"/>
      <color indexed="8"/>
      <name val="Symbol"/>
      <family val="1"/>
      <charset val="2"/>
    </font>
    <font>
      <sz val="10"/>
      <color indexed="8"/>
      <name val="Arial Narrow"/>
      <family val="2"/>
    </font>
    <font>
      <vertAlign val="superscript"/>
      <sz val="10"/>
      <color indexed="8"/>
      <name val="Arial Narrow"/>
      <family val="2"/>
    </font>
    <font>
      <sz val="10"/>
      <color indexed="8"/>
      <name val="Calibri"/>
      <family val="2"/>
    </font>
    <font>
      <sz val="10"/>
      <color indexed="8"/>
      <name val="Symbol"/>
      <family val="1"/>
      <charset val="2"/>
    </font>
    <font>
      <vertAlign val="subscript"/>
      <sz val="10"/>
      <color indexed="8"/>
      <name val="Arial Narrow"/>
      <family val="2"/>
    </font>
    <font>
      <sz val="10"/>
      <color indexed="8"/>
      <name val="Tempus Sans ITC"/>
      <family val="5"/>
    </font>
    <font>
      <sz val="8"/>
      <name val="Arial"/>
      <family val="2"/>
    </font>
    <font>
      <sz val="9"/>
      <name val="Wingdings"/>
      <charset val="2"/>
    </font>
    <font>
      <sz val="8"/>
      <color indexed="8"/>
      <name val="Tahoma"/>
      <family val="2"/>
    </font>
    <font>
      <sz val="11"/>
      <color theme="1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indexed="22"/>
        <bgColor indexed="64"/>
      </patternFill>
    </fill>
    <fill>
      <patternFill patternType="solid">
        <fgColor indexed="44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indexed="26"/>
        <bgColor indexed="64"/>
      </patternFill>
    </fill>
  </fills>
  <borders count="61">
    <border>
      <left/>
      <right/>
      <top/>
      <bottom/>
      <diagonal/>
    </border>
    <border>
      <left style="double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double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/>
      <top/>
      <bottom/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double">
        <color indexed="64"/>
      </bottom>
      <diagonal/>
    </border>
    <border>
      <left style="thin">
        <color indexed="64"/>
      </left>
      <right/>
      <top style="double">
        <color indexed="64"/>
      </top>
      <bottom/>
      <diagonal/>
    </border>
    <border>
      <left/>
      <right/>
      <top style="double">
        <color indexed="64"/>
      </top>
      <bottom/>
      <diagonal/>
    </border>
    <border>
      <left style="thin">
        <color indexed="64"/>
      </left>
      <right/>
      <top/>
      <bottom style="double">
        <color indexed="64"/>
      </bottom>
      <diagonal/>
    </border>
    <border>
      <left/>
      <right style="thin">
        <color indexed="64"/>
      </right>
      <top/>
      <bottom style="double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double">
        <color indexed="64"/>
      </right>
      <top style="double">
        <color indexed="64"/>
      </top>
      <bottom/>
      <diagonal/>
    </border>
    <border>
      <left/>
      <right style="thin">
        <color indexed="64"/>
      </right>
      <top style="double">
        <color indexed="64"/>
      </top>
      <bottom style="thin">
        <color indexed="64"/>
      </bottom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double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double">
        <color indexed="64"/>
      </right>
      <top style="medium">
        <color indexed="64"/>
      </top>
      <bottom style="double">
        <color indexed="64"/>
      </bottom>
      <diagonal/>
    </border>
    <border>
      <left style="thin">
        <color indexed="64"/>
      </left>
      <right style="double">
        <color indexed="64"/>
      </right>
      <top style="double">
        <color indexed="64"/>
      </top>
      <bottom style="thin">
        <color indexed="64"/>
      </bottom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medium">
        <color indexed="64"/>
      </bottom>
      <diagonal/>
    </border>
    <border>
      <left style="double">
        <color indexed="64"/>
      </left>
      <right style="thin">
        <color indexed="64"/>
      </right>
      <top style="double">
        <color indexed="64"/>
      </top>
      <bottom/>
      <diagonal/>
    </border>
    <border>
      <left/>
      <right style="thin">
        <color indexed="64"/>
      </right>
      <top style="double">
        <color indexed="64"/>
      </top>
      <bottom/>
      <diagonal/>
    </border>
    <border>
      <left style="thin">
        <color indexed="64"/>
      </left>
      <right style="thin">
        <color indexed="64"/>
      </right>
      <top style="double">
        <color indexed="64"/>
      </top>
      <bottom/>
      <diagonal/>
    </border>
    <border>
      <left/>
      <right style="double">
        <color indexed="64"/>
      </right>
      <top style="double">
        <color indexed="64"/>
      </top>
      <bottom/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 style="thin">
        <color indexed="64"/>
      </right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/>
      <bottom style="double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 style="double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double">
        <color indexed="64"/>
      </left>
      <right/>
      <top style="double">
        <color indexed="64"/>
      </top>
      <bottom style="double">
        <color indexed="64"/>
      </bottom>
      <diagonal/>
    </border>
    <border>
      <left style="thin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 style="double">
        <color indexed="64"/>
      </left>
      <right/>
      <top style="double">
        <color indexed="64"/>
      </top>
      <bottom style="thin">
        <color indexed="64"/>
      </bottom>
      <diagonal/>
    </border>
    <border>
      <left/>
      <right/>
      <top style="double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thin">
        <color indexed="64"/>
      </bottom>
      <diagonal/>
    </border>
    <border>
      <left style="double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/>
      <top style="thin">
        <color indexed="64"/>
      </top>
      <bottom style="double">
        <color indexed="64"/>
      </bottom>
      <diagonal/>
    </border>
    <border>
      <left style="double">
        <color indexed="64"/>
      </left>
      <right style="thin">
        <color indexed="64"/>
      </right>
      <top style="double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double">
        <color indexed="64"/>
      </right>
      <top style="double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medium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double">
        <color indexed="64"/>
      </bottom>
      <diagonal/>
    </border>
  </borders>
  <cellStyleXfs count="6">
    <xf numFmtId="0" fontId="0" fillId="0" borderId="0"/>
    <xf numFmtId="0" fontId="6" fillId="0" borderId="0"/>
    <xf numFmtId="0" fontId="81" fillId="0" borderId="0"/>
    <xf numFmtId="0" fontId="81" fillId="0" borderId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</cellStyleXfs>
  <cellXfs count="372">
    <xf numFmtId="0" fontId="0" fillId="0" borderId="0" xfId="0"/>
    <xf numFmtId="0" fontId="2" fillId="0" borderId="1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0" fontId="1" fillId="0" borderId="0" xfId="0" applyFont="1" applyAlignment="1"/>
    <xf numFmtId="0" fontId="0" fillId="0" borderId="0" xfId="0" applyAlignment="1">
      <alignment horizontal="left"/>
    </xf>
    <xf numFmtId="0" fontId="0" fillId="0" borderId="0" xfId="0" applyAlignment="1">
      <alignment horizontal="center"/>
    </xf>
    <xf numFmtId="164" fontId="2" fillId="0" borderId="0" xfId="0" applyNumberFormat="1" applyFont="1" applyAlignment="1">
      <alignment horizontal="center" vertical="center"/>
    </xf>
    <xf numFmtId="0" fontId="4" fillId="2" borderId="1" xfId="0" applyFont="1" applyFill="1" applyBorder="1" applyAlignment="1">
      <alignment horizontal="left" vertical="center"/>
    </xf>
    <xf numFmtId="0" fontId="3" fillId="2" borderId="2" xfId="0" applyFont="1" applyFill="1" applyBorder="1" applyAlignment="1">
      <alignment horizontal="left" vertical="center"/>
    </xf>
    <xf numFmtId="0" fontId="3" fillId="2" borderId="3" xfId="0" applyFont="1" applyFill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2" fillId="0" borderId="0" xfId="0" applyFont="1" applyAlignment="1">
      <alignment horizontal="left" vertical="center"/>
    </xf>
    <xf numFmtId="0" fontId="2" fillId="0" borderId="0" xfId="0" applyFont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0" fontId="5" fillId="0" borderId="4" xfId="0" applyFont="1" applyBorder="1" applyAlignment="1">
      <alignment horizontal="left" vertical="center"/>
    </xf>
    <xf numFmtId="165" fontId="5" fillId="3" borderId="5" xfId="0" applyNumberFormat="1" applyFont="1" applyFill="1" applyBorder="1" applyAlignment="1">
      <alignment horizontal="center" vertical="center"/>
    </xf>
    <xf numFmtId="0" fontId="2" fillId="0" borderId="6" xfId="0" applyFont="1" applyBorder="1" applyAlignment="1">
      <alignment horizontal="center" vertical="center"/>
    </xf>
    <xf numFmtId="0" fontId="2" fillId="0" borderId="4" xfId="0" applyFont="1" applyBorder="1" applyAlignment="1">
      <alignment horizontal="left" vertical="center"/>
    </xf>
    <xf numFmtId="165" fontId="5" fillId="3" borderId="7" xfId="0" applyNumberFormat="1" applyFont="1" applyFill="1" applyBorder="1" applyAlignment="1">
      <alignment horizontal="center" vertical="center"/>
    </xf>
    <xf numFmtId="0" fontId="2" fillId="0" borderId="0" xfId="0" applyFont="1" applyAlignment="1">
      <alignment horizontal="left"/>
    </xf>
    <xf numFmtId="0" fontId="2" fillId="0" borderId="0" xfId="0" applyFont="1" applyAlignment="1">
      <alignment horizontal="center"/>
    </xf>
    <xf numFmtId="0" fontId="0" fillId="0" borderId="0" xfId="0" applyAlignment="1">
      <alignment vertical="center"/>
    </xf>
    <xf numFmtId="0" fontId="0" fillId="0" borderId="5" xfId="0" applyBorder="1" applyAlignment="1">
      <alignment vertical="center"/>
    </xf>
    <xf numFmtId="0" fontId="0" fillId="0" borderId="5" xfId="0" applyBorder="1" applyAlignment="1">
      <alignment horizontal="center" vertical="center"/>
    </xf>
    <xf numFmtId="0" fontId="9" fillId="0" borderId="0" xfId="0" applyFont="1" applyFill="1" applyBorder="1" applyProtection="1"/>
    <xf numFmtId="0" fontId="11" fillId="0" borderId="0" xfId="0" applyFont="1" applyFill="1" applyBorder="1" applyAlignment="1" applyProtection="1">
      <alignment horizontal="left"/>
    </xf>
    <xf numFmtId="0" fontId="7" fillId="0" borderId="0" xfId="0" applyFont="1" applyFill="1" applyBorder="1" applyAlignment="1" applyProtection="1">
      <alignment horizontal="center"/>
    </xf>
    <xf numFmtId="0" fontId="11" fillId="0" borderId="8" xfId="0" applyFont="1" applyFill="1" applyBorder="1" applyProtection="1"/>
    <xf numFmtId="0" fontId="12" fillId="0" borderId="9" xfId="0" applyFont="1" applyFill="1" applyBorder="1" applyAlignment="1" applyProtection="1">
      <alignment horizontal="left"/>
    </xf>
    <xf numFmtId="0" fontId="12" fillId="0" borderId="10" xfId="0" applyFont="1" applyFill="1" applyBorder="1" applyAlignment="1" applyProtection="1">
      <alignment horizontal="left"/>
    </xf>
    <xf numFmtId="0" fontId="13" fillId="0" borderId="10" xfId="0" applyFont="1" applyFill="1" applyBorder="1" applyAlignment="1" applyProtection="1">
      <alignment horizontal="left"/>
    </xf>
    <xf numFmtId="0" fontId="9" fillId="0" borderId="10" xfId="0" applyFont="1" applyFill="1" applyBorder="1" applyAlignment="1" applyProtection="1">
      <alignment horizontal="left"/>
    </xf>
    <xf numFmtId="0" fontId="9" fillId="0" borderId="0" xfId="0" applyFont="1" applyFill="1" applyBorder="1" applyAlignment="1" applyProtection="1">
      <alignment horizontal="left"/>
    </xf>
    <xf numFmtId="0" fontId="12" fillId="0" borderId="11" xfId="0" applyFont="1" applyFill="1" applyBorder="1" applyAlignment="1" applyProtection="1">
      <alignment horizontal="left" vertical="top"/>
    </xf>
    <xf numFmtId="0" fontId="12" fillId="0" borderId="8" xfId="0" applyFont="1" applyFill="1" applyBorder="1" applyAlignment="1" applyProtection="1">
      <alignment horizontal="left"/>
    </xf>
    <xf numFmtId="0" fontId="13" fillId="0" borderId="8" xfId="0" applyFont="1" applyFill="1" applyBorder="1" applyAlignment="1" applyProtection="1">
      <alignment horizontal="left"/>
    </xf>
    <xf numFmtId="0" fontId="12" fillId="0" borderId="12" xfId="0" applyFont="1" applyFill="1" applyBorder="1" applyAlignment="1" applyProtection="1">
      <alignment horizontal="left"/>
    </xf>
    <xf numFmtId="0" fontId="12" fillId="0" borderId="13" xfId="0" applyFont="1" applyFill="1" applyBorder="1" applyAlignment="1" applyProtection="1">
      <alignment horizontal="left"/>
    </xf>
    <xf numFmtId="0" fontId="13" fillId="0" borderId="0" xfId="0" applyFont="1" applyFill="1" applyBorder="1" applyAlignment="1" applyProtection="1">
      <alignment horizontal="left"/>
    </xf>
    <xf numFmtId="0" fontId="13" fillId="0" borderId="0" xfId="0" applyFont="1" applyFill="1" applyBorder="1" applyProtection="1"/>
    <xf numFmtId="0" fontId="9" fillId="0" borderId="14" xfId="0" applyFont="1" applyFill="1" applyBorder="1" applyProtection="1"/>
    <xf numFmtId="0" fontId="11" fillId="0" borderId="0" xfId="0" applyFont="1" applyFill="1" applyBorder="1" applyProtection="1"/>
    <xf numFmtId="0" fontId="12" fillId="0" borderId="11" xfId="0" applyFont="1" applyFill="1" applyBorder="1" applyAlignment="1" applyProtection="1">
      <alignment horizontal="left"/>
    </xf>
    <xf numFmtId="0" fontId="13" fillId="0" borderId="8" xfId="0" applyFont="1" applyFill="1" applyBorder="1" applyProtection="1"/>
    <xf numFmtId="0" fontId="9" fillId="0" borderId="8" xfId="0" applyFont="1" applyFill="1" applyBorder="1" applyProtection="1"/>
    <xf numFmtId="0" fontId="9" fillId="0" borderId="12" xfId="0" applyFont="1" applyFill="1" applyBorder="1" applyProtection="1"/>
    <xf numFmtId="0" fontId="12" fillId="0" borderId="13" xfId="0" applyFont="1" applyFill="1" applyBorder="1" applyProtection="1"/>
    <xf numFmtId="0" fontId="17" fillId="0" borderId="0" xfId="0" applyFont="1" applyFill="1" applyBorder="1" applyProtection="1"/>
    <xf numFmtId="0" fontId="18" fillId="0" borderId="11" xfId="0" applyFont="1" applyFill="1" applyBorder="1" applyProtection="1"/>
    <xf numFmtId="0" fontId="18" fillId="0" borderId="8" xfId="0" applyFont="1" applyFill="1" applyBorder="1" applyAlignment="1" applyProtection="1">
      <alignment horizontal="left"/>
    </xf>
    <xf numFmtId="0" fontId="18" fillId="0" borderId="8" xfId="0" applyFont="1" applyFill="1" applyBorder="1" applyAlignment="1" applyProtection="1">
      <alignment horizontal="center"/>
    </xf>
    <xf numFmtId="0" fontId="12" fillId="0" borderId="15" xfId="0" applyFont="1" applyFill="1" applyBorder="1" applyProtection="1"/>
    <xf numFmtId="0" fontId="9" fillId="0" borderId="16" xfId="0" applyFont="1" applyFill="1" applyBorder="1" applyProtection="1"/>
    <xf numFmtId="0" fontId="21" fillId="0" borderId="7" xfId="0" applyFont="1" applyFill="1" applyBorder="1" applyAlignment="1" applyProtection="1">
      <alignment horizontal="justify" vertical="center" wrapText="1"/>
    </xf>
    <xf numFmtId="0" fontId="22" fillId="0" borderId="4" xfId="0" applyFont="1" applyFill="1" applyBorder="1" applyAlignment="1" applyProtection="1">
      <alignment horizontal="center" vertical="center" wrapText="1"/>
    </xf>
    <xf numFmtId="0" fontId="22" fillId="0" borderId="7" xfId="0" applyFont="1" applyFill="1" applyBorder="1" applyAlignment="1" applyProtection="1">
      <alignment horizontal="justify" vertical="center" wrapText="1"/>
    </xf>
    <xf numFmtId="0" fontId="22" fillId="0" borderId="5" xfId="0" applyFont="1" applyFill="1" applyBorder="1" applyAlignment="1" applyProtection="1">
      <alignment horizontal="justify" vertical="center" wrapText="1"/>
    </xf>
    <xf numFmtId="0" fontId="11" fillId="0" borderId="14" xfId="0" applyFont="1" applyFill="1" applyBorder="1" applyAlignment="1" applyProtection="1">
      <alignment horizontal="justify" vertical="center" wrapText="1"/>
    </xf>
    <xf numFmtId="0" fontId="11" fillId="0" borderId="0" xfId="0" applyFont="1" applyFill="1" applyBorder="1" applyAlignment="1" applyProtection="1">
      <alignment horizontal="justify" vertical="center" wrapText="1"/>
    </xf>
    <xf numFmtId="0" fontId="21" fillId="0" borderId="7" xfId="0" applyFont="1" applyFill="1" applyBorder="1" applyProtection="1"/>
    <xf numFmtId="2" fontId="9" fillId="0" borderId="0" xfId="0" applyNumberFormat="1" applyFont="1" applyFill="1" applyBorder="1" applyProtection="1"/>
    <xf numFmtId="0" fontId="18" fillId="0" borderId="7" xfId="0" applyFont="1" applyFill="1" applyBorder="1" applyProtection="1"/>
    <xf numFmtId="0" fontId="17" fillId="0" borderId="17" xfId="0" applyFont="1" applyFill="1" applyBorder="1" applyProtection="1"/>
    <xf numFmtId="0" fontId="9" fillId="0" borderId="18" xfId="0" applyFont="1" applyFill="1" applyBorder="1" applyProtection="1"/>
    <xf numFmtId="0" fontId="9" fillId="0" borderId="17" xfId="0" applyFont="1" applyFill="1" applyBorder="1" applyProtection="1"/>
    <xf numFmtId="0" fontId="26" fillId="0" borderId="13" xfId="0" applyFont="1" applyFill="1" applyBorder="1" applyProtection="1"/>
    <xf numFmtId="0" fontId="9" fillId="0" borderId="14" xfId="0" applyFont="1" applyFill="1" applyBorder="1" applyAlignment="1" applyProtection="1">
      <alignment horizontal="center"/>
    </xf>
    <xf numFmtId="0" fontId="9" fillId="0" borderId="5" xfId="0" applyFont="1" applyFill="1" applyBorder="1" applyProtection="1"/>
    <xf numFmtId="0" fontId="9" fillId="0" borderId="5" xfId="0" applyFont="1" applyFill="1" applyBorder="1" applyAlignment="1" applyProtection="1">
      <alignment horizontal="center"/>
    </xf>
    <xf numFmtId="2" fontId="25" fillId="0" borderId="14" xfId="0" applyNumberFormat="1" applyFont="1" applyFill="1" applyBorder="1" applyAlignment="1" applyProtection="1">
      <alignment horizontal="center"/>
    </xf>
    <xf numFmtId="0" fontId="11" fillId="0" borderId="11" xfId="0" applyFont="1" applyFill="1" applyBorder="1" applyProtection="1"/>
    <xf numFmtId="0" fontId="25" fillId="0" borderId="13" xfId="0" applyFont="1" applyFill="1" applyBorder="1" applyProtection="1"/>
    <xf numFmtId="0" fontId="12" fillId="0" borderId="5" xfId="0" applyFont="1" applyFill="1" applyBorder="1" applyAlignment="1" applyProtection="1">
      <alignment horizontal="right"/>
    </xf>
    <xf numFmtId="0" fontId="13" fillId="0" borderId="5" xfId="0" applyFont="1" applyFill="1" applyBorder="1" applyProtection="1"/>
    <xf numFmtId="171" fontId="9" fillId="0" borderId="5" xfId="0" applyNumberFormat="1" applyFont="1" applyFill="1" applyBorder="1" applyProtection="1"/>
    <xf numFmtId="169" fontId="9" fillId="0" borderId="5" xfId="0" applyNumberFormat="1" applyFont="1" applyFill="1" applyBorder="1" applyProtection="1"/>
    <xf numFmtId="0" fontId="9" fillId="0" borderId="19" xfId="0" applyFont="1" applyFill="1" applyBorder="1" applyProtection="1"/>
    <xf numFmtId="169" fontId="9" fillId="0" borderId="19" xfId="0" applyNumberFormat="1" applyFont="1" applyFill="1" applyBorder="1" applyProtection="1"/>
    <xf numFmtId="0" fontId="11" fillId="0" borderId="20" xfId="0" applyFont="1" applyFill="1" applyBorder="1" applyAlignment="1" applyProtection="1">
      <alignment horizontal="right"/>
    </xf>
    <xf numFmtId="0" fontId="11" fillId="0" borderId="21" xfId="0" applyFont="1" applyFill="1" applyBorder="1" applyAlignment="1" applyProtection="1">
      <alignment horizontal="right"/>
    </xf>
    <xf numFmtId="0" fontId="11" fillId="0" borderId="2" xfId="0" applyFont="1" applyFill="1" applyBorder="1" applyAlignment="1" applyProtection="1">
      <alignment horizontal="right"/>
    </xf>
    <xf numFmtId="173" fontId="9" fillId="0" borderId="0" xfId="0" applyNumberFormat="1" applyFont="1" applyFill="1" applyBorder="1" applyProtection="1"/>
    <xf numFmtId="0" fontId="11" fillId="0" borderId="22" xfId="0" applyFont="1" applyFill="1" applyBorder="1" applyAlignment="1" applyProtection="1">
      <alignment horizontal="right"/>
    </xf>
    <xf numFmtId="171" fontId="4" fillId="0" borderId="23" xfId="0" applyNumberFormat="1" applyFont="1" applyBorder="1" applyAlignment="1">
      <alignment horizontal="center"/>
    </xf>
    <xf numFmtId="0" fontId="12" fillId="0" borderId="23" xfId="0" applyFont="1" applyFill="1" applyBorder="1" applyAlignment="1">
      <alignment horizontal="center"/>
    </xf>
    <xf numFmtId="174" fontId="11" fillId="0" borderId="23" xfId="0" applyNumberFormat="1" applyFont="1" applyFill="1" applyBorder="1" applyAlignment="1" applyProtection="1">
      <alignment horizontal="right"/>
      <protection locked="0"/>
    </xf>
    <xf numFmtId="20" fontId="11" fillId="0" borderId="18" xfId="0" applyNumberFormat="1" applyFont="1" applyFill="1" applyBorder="1" applyAlignment="1" applyProtection="1">
      <alignment horizontal="center"/>
      <protection locked="0"/>
    </xf>
    <xf numFmtId="0" fontId="11" fillId="0" borderId="13" xfId="0" applyFont="1" applyFill="1" applyBorder="1" applyProtection="1"/>
    <xf numFmtId="169" fontId="11" fillId="0" borderId="0" xfId="0" applyNumberFormat="1" applyFont="1" applyFill="1" applyBorder="1" applyAlignment="1" applyProtection="1">
      <alignment horizontal="center"/>
    </xf>
    <xf numFmtId="0" fontId="11" fillId="0" borderId="0" xfId="0" applyFont="1" applyFill="1" applyBorder="1" applyAlignment="1" applyProtection="1">
      <alignment horizontal="center"/>
    </xf>
    <xf numFmtId="0" fontId="9" fillId="0" borderId="24" xfId="0" applyFont="1" applyFill="1" applyBorder="1" applyProtection="1"/>
    <xf numFmtId="0" fontId="11" fillId="0" borderId="7" xfId="0" applyFont="1" applyFill="1" applyBorder="1" applyAlignment="1" applyProtection="1">
      <alignment horizontal="left"/>
    </xf>
    <xf numFmtId="0" fontId="9" fillId="0" borderId="25" xfId="0" applyFont="1" applyFill="1" applyBorder="1" applyProtection="1"/>
    <xf numFmtId="0" fontId="11" fillId="0" borderId="26" xfId="0" applyFont="1" applyFill="1" applyBorder="1" applyAlignment="1" applyProtection="1">
      <alignment horizontal="left"/>
    </xf>
    <xf numFmtId="171" fontId="11" fillId="0" borderId="1" xfId="0" applyNumberFormat="1" applyFont="1" applyFill="1" applyBorder="1" applyAlignment="1" applyProtection="1">
      <alignment horizontal="center"/>
    </xf>
    <xf numFmtId="0" fontId="0" fillId="0" borderId="2" xfId="0" applyBorder="1" applyAlignment="1">
      <alignment horizontal="center"/>
    </xf>
    <xf numFmtId="0" fontId="0" fillId="0" borderId="4" xfId="0" applyBorder="1" applyAlignment="1">
      <alignment horizontal="center"/>
    </xf>
    <xf numFmtId="0" fontId="9" fillId="0" borderId="26" xfId="0" applyFont="1" applyFill="1" applyBorder="1" applyProtection="1"/>
    <xf numFmtId="0" fontId="9" fillId="0" borderId="27" xfId="0" applyFont="1" applyFill="1" applyBorder="1" applyProtection="1"/>
    <xf numFmtId="0" fontId="11" fillId="0" borderId="17" xfId="0" applyFont="1" applyFill="1" applyBorder="1" applyAlignment="1" applyProtection="1">
      <alignment horizontal="left"/>
    </xf>
    <xf numFmtId="171" fontId="11" fillId="0" borderId="4" xfId="0" applyNumberFormat="1" applyFont="1" applyFill="1" applyBorder="1" applyProtection="1"/>
    <xf numFmtId="10" fontId="11" fillId="0" borderId="0" xfId="4" applyNumberFormat="1" applyFont="1" applyFill="1" applyBorder="1" applyProtection="1"/>
    <xf numFmtId="0" fontId="9" fillId="0" borderId="0" xfId="0" applyFont="1" applyFill="1" applyBorder="1" applyProtection="1">
      <protection locked="0"/>
    </xf>
    <xf numFmtId="0" fontId="9" fillId="0" borderId="13" xfId="0" applyFont="1" applyFill="1" applyBorder="1" applyProtection="1">
      <protection locked="0"/>
    </xf>
    <xf numFmtId="0" fontId="11" fillId="0" borderId="11" xfId="0" applyFont="1" applyFill="1" applyBorder="1" applyAlignment="1" applyProtection="1">
      <alignment horizontal="left"/>
      <protection locked="0"/>
    </xf>
    <xf numFmtId="0" fontId="9" fillId="0" borderId="8" xfId="0" applyFont="1" applyFill="1" applyBorder="1" applyProtection="1">
      <protection locked="0"/>
    </xf>
    <xf numFmtId="0" fontId="7" fillId="0" borderId="0" xfId="0" applyFont="1" applyFill="1" applyBorder="1" applyProtection="1"/>
    <xf numFmtId="0" fontId="35" fillId="0" borderId="0" xfId="0" applyFont="1" applyFill="1" applyBorder="1" applyProtection="1"/>
    <xf numFmtId="0" fontId="36" fillId="0" borderId="0" xfId="0" applyFont="1" applyFill="1" applyBorder="1" applyProtection="1"/>
    <xf numFmtId="14" fontId="9" fillId="0" borderId="0" xfId="0" applyNumberFormat="1" applyFont="1" applyFill="1" applyBorder="1" applyProtection="1">
      <protection locked="0"/>
    </xf>
    <xf numFmtId="0" fontId="9" fillId="0" borderId="4" xfId="0" applyFont="1" applyFill="1" applyBorder="1" applyAlignment="1" applyProtection="1">
      <alignment horizontal="center"/>
    </xf>
    <xf numFmtId="169" fontId="9" fillId="3" borderId="12" xfId="0" applyNumberFormat="1" applyFont="1" applyFill="1" applyBorder="1" applyAlignment="1" applyProtection="1">
      <alignment horizontal="center"/>
    </xf>
    <xf numFmtId="0" fontId="18" fillId="0" borderId="28" xfId="0" applyFont="1" applyFill="1" applyBorder="1" applyProtection="1"/>
    <xf numFmtId="168" fontId="9" fillId="4" borderId="8" xfId="0" applyNumberFormat="1" applyFont="1" applyFill="1" applyBorder="1" applyAlignment="1" applyProtection="1">
      <alignment horizontal="center"/>
    </xf>
    <xf numFmtId="0" fontId="13" fillId="3" borderId="8" xfId="0" applyFont="1" applyFill="1" applyBorder="1" applyAlignment="1" applyProtection="1">
      <alignment horizontal="left"/>
    </xf>
    <xf numFmtId="175" fontId="25" fillId="3" borderId="0" xfId="0" applyNumberFormat="1" applyFont="1" applyFill="1" applyBorder="1" applyProtection="1"/>
    <xf numFmtId="0" fontId="25" fillId="3" borderId="0" xfId="0" applyFont="1" applyFill="1" applyBorder="1" applyProtection="1"/>
    <xf numFmtId="175" fontId="25" fillId="3" borderId="0" xfId="0" applyNumberFormat="1" applyFont="1" applyFill="1" applyBorder="1" applyProtection="1">
      <protection locked="0"/>
    </xf>
    <xf numFmtId="169" fontId="9" fillId="4" borderId="0" xfId="0" applyNumberFormat="1" applyFont="1" applyFill="1" applyBorder="1" applyAlignment="1" applyProtection="1">
      <alignment horizontal="center"/>
    </xf>
    <xf numFmtId="169" fontId="11" fillId="3" borderId="8" xfId="0" applyNumberFormat="1" applyFont="1" applyFill="1" applyBorder="1" applyAlignment="1" applyProtection="1">
      <alignment horizontal="center"/>
    </xf>
    <xf numFmtId="171" fontId="25" fillId="3" borderId="27" xfId="0" applyNumberFormat="1" applyFont="1" applyFill="1" applyBorder="1" applyProtection="1"/>
    <xf numFmtId="0" fontId="17" fillId="3" borderId="7" xfId="0" applyFont="1" applyFill="1" applyBorder="1" applyAlignment="1" applyProtection="1">
      <alignment horizontal="center"/>
    </xf>
    <xf numFmtId="2" fontId="11" fillId="3" borderId="21" xfId="0" applyNumberFormat="1" applyFont="1" applyFill="1" applyBorder="1" applyAlignment="1" applyProtection="1">
      <alignment horizontal="center"/>
    </xf>
    <xf numFmtId="171" fontId="11" fillId="3" borderId="23" xfId="0" applyNumberFormat="1" applyFont="1" applyFill="1" applyBorder="1" applyAlignment="1" applyProtection="1">
      <alignment horizontal="center"/>
      <protection locked="0"/>
    </xf>
    <xf numFmtId="166" fontId="11" fillId="3" borderId="25" xfId="0" applyNumberFormat="1" applyFont="1" applyFill="1" applyBorder="1" applyAlignment="1" applyProtection="1">
      <alignment horizontal="center"/>
      <protection locked="0"/>
    </xf>
    <xf numFmtId="171" fontId="11" fillId="3" borderId="27" xfId="0" applyNumberFormat="1" applyFont="1" applyFill="1" applyBorder="1" applyAlignment="1" applyProtection="1">
      <alignment horizontal="center"/>
    </xf>
    <xf numFmtId="0" fontId="7" fillId="5" borderId="0" xfId="0" applyFont="1" applyFill="1" applyBorder="1" applyAlignment="1" applyProtection="1">
      <alignment horizontal="center"/>
    </xf>
    <xf numFmtId="0" fontId="9" fillId="5" borderId="8" xfId="0" applyFont="1" applyFill="1" applyBorder="1" applyAlignment="1" applyProtection="1">
      <alignment horizontal="center"/>
      <protection locked="0"/>
    </xf>
    <xf numFmtId="0" fontId="17" fillId="5" borderId="7" xfId="0" applyFont="1" applyFill="1" applyBorder="1" applyAlignment="1" applyProtection="1">
      <alignment horizontal="center"/>
      <protection locked="0"/>
    </xf>
    <xf numFmtId="0" fontId="9" fillId="5" borderId="5" xfId="0" applyFont="1" applyFill="1" applyBorder="1" applyProtection="1"/>
    <xf numFmtId="0" fontId="25" fillId="5" borderId="5" xfId="0" applyFont="1" applyFill="1" applyBorder="1" applyAlignment="1" applyProtection="1">
      <alignment horizontal="center"/>
      <protection locked="0"/>
    </xf>
    <xf numFmtId="0" fontId="11" fillId="5" borderId="5" xfId="0" applyFont="1" applyFill="1" applyBorder="1" applyAlignment="1" applyProtection="1">
      <alignment horizontal="center"/>
    </xf>
    <xf numFmtId="166" fontId="11" fillId="5" borderId="25" xfId="0" applyNumberFormat="1" applyFont="1" applyFill="1" applyBorder="1" applyAlignment="1" applyProtection="1">
      <alignment horizontal="center"/>
      <protection locked="0"/>
    </xf>
    <xf numFmtId="2" fontId="9" fillId="5" borderId="0" xfId="0" applyNumberFormat="1" applyFont="1" applyFill="1" applyBorder="1" applyProtection="1">
      <protection locked="0"/>
    </xf>
    <xf numFmtId="15" fontId="9" fillId="5" borderId="0" xfId="0" applyNumberFormat="1" applyFont="1" applyFill="1" applyBorder="1" applyProtection="1"/>
    <xf numFmtId="0" fontId="41" fillId="0" borderId="8" xfId="0" applyFont="1" applyFill="1" applyBorder="1" applyAlignment="1" applyProtection="1">
      <alignment horizontal="left"/>
      <protection locked="0"/>
    </xf>
    <xf numFmtId="0" fontId="11" fillId="0" borderId="5" xfId="0" applyFont="1" applyFill="1" applyBorder="1" applyAlignment="1" applyProtection="1">
      <alignment horizontal="center" vertical="center" wrapText="1"/>
    </xf>
    <xf numFmtId="171" fontId="9" fillId="3" borderId="5" xfId="0" applyNumberFormat="1" applyFont="1" applyFill="1" applyBorder="1" applyAlignment="1" applyProtection="1">
      <alignment horizontal="center"/>
    </xf>
    <xf numFmtId="0" fontId="9" fillId="5" borderId="5" xfId="0" applyFont="1" applyFill="1" applyBorder="1" applyAlignment="1" applyProtection="1">
      <alignment horizontal="center"/>
    </xf>
    <xf numFmtId="170" fontId="9" fillId="5" borderId="5" xfId="0" applyNumberFormat="1" applyFont="1" applyFill="1" applyBorder="1" applyAlignment="1" applyProtection="1">
      <alignment horizontal="center"/>
    </xf>
    <xf numFmtId="0" fontId="42" fillId="0" borderId="0" xfId="0" applyFont="1" applyFill="1" applyBorder="1" applyProtection="1"/>
    <xf numFmtId="0" fontId="43" fillId="0" borderId="14" xfId="0" applyFont="1" applyFill="1" applyBorder="1" applyAlignment="1" applyProtection="1">
      <alignment horizontal="center" vertical="center"/>
    </xf>
    <xf numFmtId="0" fontId="2" fillId="5" borderId="29" xfId="0" applyFont="1" applyFill="1" applyBorder="1" applyAlignment="1">
      <alignment horizontal="center" vertical="center"/>
    </xf>
    <xf numFmtId="164" fontId="3" fillId="5" borderId="30" xfId="0" applyNumberFormat="1" applyFont="1" applyFill="1" applyBorder="1" applyAlignment="1">
      <alignment horizontal="center" vertical="center"/>
    </xf>
    <xf numFmtId="0" fontId="2" fillId="5" borderId="7" xfId="0" applyFont="1" applyFill="1" applyBorder="1" applyAlignment="1">
      <alignment horizontal="center" vertical="center"/>
    </xf>
    <xf numFmtId="2" fontId="2" fillId="5" borderId="31" xfId="0" applyNumberFormat="1" applyFont="1" applyFill="1" applyBorder="1" applyAlignment="1">
      <alignment horizontal="center" vertical="center"/>
    </xf>
    <xf numFmtId="0" fontId="44" fillId="0" borderId="0" xfId="0" applyFont="1"/>
    <xf numFmtId="0" fontId="25" fillId="0" borderId="0" xfId="0" applyFont="1"/>
    <xf numFmtId="0" fontId="25" fillId="0" borderId="0" xfId="0" applyFont="1" applyAlignment="1">
      <alignment horizontal="left"/>
    </xf>
    <xf numFmtId="0" fontId="45" fillId="0" borderId="0" xfId="0" applyFont="1"/>
    <xf numFmtId="0" fontId="25" fillId="4" borderId="32" xfId="0" applyFont="1" applyFill="1" applyBorder="1" applyAlignment="1">
      <alignment horizontal="center"/>
    </xf>
    <xf numFmtId="0" fontId="25" fillId="4" borderId="33" xfId="0" applyFont="1" applyFill="1" applyBorder="1" applyAlignment="1">
      <alignment horizontal="center"/>
    </xf>
    <xf numFmtId="0" fontId="25" fillId="4" borderId="34" xfId="0" applyFont="1" applyFill="1" applyBorder="1" applyAlignment="1">
      <alignment horizontal="center"/>
    </xf>
    <xf numFmtId="0" fontId="25" fillId="4" borderId="35" xfId="0" applyFont="1" applyFill="1" applyBorder="1" applyAlignment="1">
      <alignment horizontal="center"/>
    </xf>
    <xf numFmtId="0" fontId="25" fillId="4" borderId="10" xfId="0" applyFont="1" applyFill="1" applyBorder="1" applyAlignment="1">
      <alignment horizontal="center"/>
    </xf>
    <xf numFmtId="0" fontId="0" fillId="0" borderId="36" xfId="0" applyBorder="1"/>
    <xf numFmtId="0" fontId="25" fillId="4" borderId="37" xfId="0" applyFont="1" applyFill="1" applyBorder="1" applyAlignment="1">
      <alignment horizontal="center"/>
    </xf>
    <xf numFmtId="0" fontId="46" fillId="4" borderId="12" xfId="0" applyFont="1" applyFill="1" applyBorder="1" applyAlignment="1">
      <alignment horizontal="center"/>
    </xf>
    <xf numFmtId="0" fontId="25" fillId="4" borderId="38" xfId="0" applyFont="1" applyFill="1" applyBorder="1" applyAlignment="1">
      <alignment horizontal="center"/>
    </xf>
    <xf numFmtId="0" fontId="25" fillId="4" borderId="39" xfId="0" applyFont="1" applyFill="1" applyBorder="1" applyAlignment="1">
      <alignment horizontal="center"/>
    </xf>
    <xf numFmtId="0" fontId="25" fillId="4" borderId="40" xfId="0" applyFont="1" applyFill="1" applyBorder="1" applyAlignment="1">
      <alignment horizontal="center"/>
    </xf>
    <xf numFmtId="173" fontId="25" fillId="6" borderId="25" xfId="0" applyNumberFormat="1" applyFont="1" applyFill="1" applyBorder="1" applyAlignment="1">
      <alignment horizontal="center"/>
    </xf>
    <xf numFmtId="176" fontId="25" fillId="6" borderId="41" xfId="0" applyNumberFormat="1" applyFont="1" applyFill="1" applyBorder="1" applyAlignment="1">
      <alignment horizontal="center"/>
    </xf>
    <xf numFmtId="1" fontId="25" fillId="6" borderId="26" xfId="0" applyNumberFormat="1" applyFont="1" applyFill="1" applyBorder="1" applyAlignment="1">
      <alignment horizontal="center"/>
    </xf>
    <xf numFmtId="173" fontId="25" fillId="7" borderId="25" xfId="0" applyNumberFormat="1" applyFont="1" applyFill="1" applyBorder="1" applyAlignment="1">
      <alignment horizontal="center"/>
    </xf>
    <xf numFmtId="176" fontId="25" fillId="7" borderId="41" xfId="0" applyNumberFormat="1" applyFont="1" applyFill="1" applyBorder="1" applyAlignment="1">
      <alignment horizontal="center"/>
    </xf>
    <xf numFmtId="1" fontId="25" fillId="7" borderId="26" xfId="0" applyNumberFormat="1" applyFont="1" applyFill="1" applyBorder="1" applyAlignment="1">
      <alignment horizontal="center"/>
    </xf>
    <xf numFmtId="1" fontId="25" fillId="7" borderId="30" xfId="0" applyNumberFormat="1" applyFont="1" applyFill="1" applyBorder="1" applyAlignment="1">
      <alignment horizontal="center"/>
    </xf>
    <xf numFmtId="0" fontId="46" fillId="4" borderId="42" xfId="0" applyFont="1" applyFill="1" applyBorder="1" applyAlignment="1">
      <alignment horizontal="center"/>
    </xf>
    <xf numFmtId="173" fontId="46" fillId="6" borderId="5" xfId="0" applyNumberFormat="1" applyFont="1" applyFill="1" applyBorder="1" applyAlignment="1">
      <alignment horizontal="center"/>
    </xf>
    <xf numFmtId="1" fontId="46" fillId="6" borderId="7" xfId="0" applyNumberFormat="1" applyFont="1" applyFill="1" applyBorder="1" applyAlignment="1">
      <alignment horizontal="center"/>
    </xf>
    <xf numFmtId="173" fontId="46" fillId="7" borderId="5" xfId="0" applyNumberFormat="1" applyFont="1" applyFill="1" applyBorder="1" applyAlignment="1">
      <alignment horizontal="center"/>
    </xf>
    <xf numFmtId="0" fontId="0" fillId="0" borderId="0" xfId="0" applyFill="1"/>
    <xf numFmtId="0" fontId="25" fillId="4" borderId="42" xfId="0" applyFont="1" applyFill="1" applyBorder="1" applyAlignment="1">
      <alignment horizontal="center"/>
    </xf>
    <xf numFmtId="173" fontId="25" fillId="6" borderId="5" xfId="0" applyNumberFormat="1" applyFont="1" applyFill="1" applyBorder="1" applyAlignment="1">
      <alignment horizontal="center"/>
    </xf>
    <xf numFmtId="1" fontId="25" fillId="6" borderId="7" xfId="0" applyNumberFormat="1" applyFont="1" applyFill="1" applyBorder="1" applyAlignment="1">
      <alignment horizontal="center"/>
    </xf>
    <xf numFmtId="173" fontId="25" fillId="7" borderId="5" xfId="0" applyNumberFormat="1" applyFont="1" applyFill="1" applyBorder="1" applyAlignment="1">
      <alignment horizontal="center"/>
    </xf>
    <xf numFmtId="1" fontId="25" fillId="7" borderId="7" xfId="0" applyNumberFormat="1" applyFont="1" applyFill="1" applyBorder="1" applyAlignment="1">
      <alignment horizontal="center"/>
    </xf>
    <xf numFmtId="0" fontId="0" fillId="0" borderId="0" xfId="0" applyFill="1" applyBorder="1"/>
    <xf numFmtId="0" fontId="46" fillId="4" borderId="43" xfId="0" applyFont="1" applyFill="1" applyBorder="1" applyAlignment="1">
      <alignment horizontal="center"/>
    </xf>
    <xf numFmtId="173" fontId="46" fillId="6" borderId="44" xfId="0" applyNumberFormat="1" applyFont="1" applyFill="1" applyBorder="1" applyAlignment="1">
      <alignment horizontal="center"/>
    </xf>
    <xf numFmtId="176" fontId="25" fillId="6" borderId="45" xfId="0" applyNumberFormat="1" applyFont="1" applyFill="1" applyBorder="1" applyAlignment="1">
      <alignment horizontal="center"/>
    </xf>
    <xf numFmtId="1" fontId="46" fillId="6" borderId="31" xfId="0" applyNumberFormat="1" applyFont="1" applyFill="1" applyBorder="1" applyAlignment="1">
      <alignment horizontal="center"/>
    </xf>
    <xf numFmtId="173" fontId="46" fillId="7" borderId="44" xfId="0" applyNumberFormat="1" applyFont="1" applyFill="1" applyBorder="1" applyAlignment="1">
      <alignment horizontal="center"/>
    </xf>
    <xf numFmtId="176" fontId="25" fillId="7" borderId="45" xfId="0" applyNumberFormat="1" applyFont="1" applyFill="1" applyBorder="1" applyAlignment="1">
      <alignment horizontal="center"/>
    </xf>
    <xf numFmtId="0" fontId="46" fillId="4" borderId="28" xfId="0" applyFont="1" applyFill="1" applyBorder="1" applyAlignment="1">
      <alignment horizontal="center"/>
    </xf>
    <xf numFmtId="173" fontId="46" fillId="6" borderId="27" xfId="0" applyNumberFormat="1" applyFont="1" applyFill="1" applyBorder="1" applyAlignment="1">
      <alignment horizontal="center"/>
    </xf>
    <xf numFmtId="176" fontId="25" fillId="6" borderId="27" xfId="0" applyNumberFormat="1" applyFont="1" applyFill="1" applyBorder="1" applyAlignment="1">
      <alignment horizontal="center"/>
    </xf>
    <xf numFmtId="1" fontId="46" fillId="6" borderId="17" xfId="0" applyNumberFormat="1" applyFont="1" applyFill="1" applyBorder="1" applyAlignment="1">
      <alignment horizontal="center"/>
    </xf>
    <xf numFmtId="173" fontId="46" fillId="7" borderId="27" xfId="0" applyNumberFormat="1" applyFont="1" applyFill="1" applyBorder="1" applyAlignment="1">
      <alignment horizontal="center"/>
    </xf>
    <xf numFmtId="176" fontId="25" fillId="7" borderId="27" xfId="0" applyNumberFormat="1" applyFont="1" applyFill="1" applyBorder="1" applyAlignment="1">
      <alignment horizontal="center"/>
    </xf>
    <xf numFmtId="177" fontId="0" fillId="0" borderId="0" xfId="0" applyNumberFormat="1"/>
    <xf numFmtId="0" fontId="47" fillId="0" borderId="0" xfId="0" applyFont="1"/>
    <xf numFmtId="0" fontId="18" fillId="0" borderId="18" xfId="0" applyFont="1" applyFill="1" applyBorder="1" applyProtection="1"/>
    <xf numFmtId="0" fontId="22" fillId="0" borderId="42" xfId="0" applyFont="1" applyFill="1" applyBorder="1" applyAlignment="1" applyProtection="1">
      <alignment horizontal="center" vertical="center" wrapText="1"/>
    </xf>
    <xf numFmtId="0" fontId="9" fillId="0" borderId="42" xfId="0" applyFont="1" applyFill="1" applyBorder="1" applyAlignment="1" applyProtection="1">
      <alignment horizontal="center"/>
    </xf>
    <xf numFmtId="0" fontId="9" fillId="0" borderId="36" xfId="0" applyFont="1" applyFill="1" applyBorder="1" applyProtection="1"/>
    <xf numFmtId="2" fontId="9" fillId="0" borderId="36" xfId="0" applyNumberFormat="1" applyFont="1" applyFill="1" applyBorder="1" applyProtection="1"/>
    <xf numFmtId="0" fontId="9" fillId="0" borderId="28" xfId="0" applyFont="1" applyFill="1" applyBorder="1" applyProtection="1"/>
    <xf numFmtId="1" fontId="25" fillId="7" borderId="31" xfId="0" applyNumberFormat="1" applyFont="1" applyFill="1" applyBorder="1" applyAlignment="1">
      <alignment horizontal="center"/>
    </xf>
    <xf numFmtId="1" fontId="25" fillId="7" borderId="17" xfId="0" applyNumberFormat="1" applyFont="1" applyFill="1" applyBorder="1" applyAlignment="1">
      <alignment horizontal="center"/>
    </xf>
    <xf numFmtId="1" fontId="25" fillId="6" borderId="31" xfId="0" applyNumberFormat="1" applyFont="1" applyFill="1" applyBorder="1" applyAlignment="1">
      <alignment horizontal="center"/>
    </xf>
    <xf numFmtId="176" fontId="25" fillId="6" borderId="22" xfId="0" applyNumberFormat="1" applyFont="1" applyFill="1" applyBorder="1" applyAlignment="1">
      <alignment horizontal="center"/>
    </xf>
    <xf numFmtId="1" fontId="25" fillId="6" borderId="17" xfId="0" applyNumberFormat="1" applyFont="1" applyFill="1" applyBorder="1" applyAlignment="1">
      <alignment horizontal="center"/>
    </xf>
    <xf numFmtId="0" fontId="4" fillId="0" borderId="36" xfId="0" applyFont="1" applyBorder="1"/>
    <xf numFmtId="0" fontId="4" fillId="0" borderId="0" xfId="0" applyFont="1"/>
    <xf numFmtId="0" fontId="4" fillId="0" borderId="0" xfId="0" applyFont="1" applyFill="1"/>
    <xf numFmtId="0" fontId="25" fillId="0" borderId="0" xfId="0" applyFont="1" applyAlignment="1">
      <alignment horizontal="right" vertical="center"/>
    </xf>
    <xf numFmtId="0" fontId="0" fillId="0" borderId="0" xfId="0" applyBorder="1" applyAlignment="1">
      <alignment vertical="center"/>
    </xf>
    <xf numFmtId="0" fontId="0" fillId="0" borderId="0" xfId="0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50" fillId="0" borderId="5" xfId="0" applyFont="1" applyBorder="1" applyAlignment="1">
      <alignment vertical="center" wrapText="1"/>
    </xf>
    <xf numFmtId="0" fontId="0" fillId="0" borderId="5" xfId="0" applyFont="1" applyBorder="1" applyAlignment="1">
      <alignment vertical="center"/>
    </xf>
    <xf numFmtId="0" fontId="0" fillId="5" borderId="5" xfId="0" applyFill="1" applyBorder="1" applyAlignment="1">
      <alignment horizontal="center" vertical="center"/>
    </xf>
    <xf numFmtId="0" fontId="50" fillId="0" borderId="0" xfId="0" applyFont="1" applyBorder="1" applyAlignment="1">
      <alignment horizontal="left" vertical="center" wrapText="1"/>
    </xf>
    <xf numFmtId="165" fontId="0" fillId="3" borderId="5" xfId="0" applyNumberFormat="1" applyFill="1" applyBorder="1" applyAlignment="1">
      <alignment horizontal="center" vertical="center"/>
    </xf>
    <xf numFmtId="0" fontId="50" fillId="0" borderId="0" xfId="0" applyFont="1" applyFill="1" applyBorder="1" applyAlignment="1">
      <alignment horizontal="left" vertical="center" wrapText="1"/>
    </xf>
    <xf numFmtId="0" fontId="0" fillId="0" borderId="0" xfId="0" applyFill="1" applyBorder="1" applyAlignment="1">
      <alignment vertical="center"/>
    </xf>
    <xf numFmtId="165" fontId="0" fillId="0" borderId="0" xfId="0" applyNumberFormat="1" applyFill="1" applyBorder="1" applyAlignment="1">
      <alignment horizontal="center" vertical="center"/>
    </xf>
    <xf numFmtId="0" fontId="4" fillId="0" borderId="0" xfId="0" applyFont="1" applyBorder="1" applyAlignment="1">
      <alignment horizontal="center" vertical="center"/>
    </xf>
    <xf numFmtId="175" fontId="0" fillId="0" borderId="0" xfId="0" applyNumberFormat="1"/>
    <xf numFmtId="0" fontId="50" fillId="0" borderId="5" xfId="0" applyFont="1" applyBorder="1" applyAlignment="1">
      <alignment horizontal="left" vertical="center" wrapText="1"/>
    </xf>
    <xf numFmtId="0" fontId="51" fillId="5" borderId="5" xfId="0" applyFont="1" applyFill="1" applyBorder="1" applyAlignment="1">
      <alignment horizontal="center" vertical="center"/>
    </xf>
    <xf numFmtId="0" fontId="4" fillId="3" borderId="5" xfId="0" applyFont="1" applyFill="1" applyBorder="1" applyAlignment="1">
      <alignment horizontal="center" vertical="center"/>
    </xf>
    <xf numFmtId="165" fontId="0" fillId="5" borderId="5" xfId="0" applyNumberFormat="1" applyFill="1" applyBorder="1" applyAlignment="1">
      <alignment horizontal="center" vertical="center"/>
    </xf>
    <xf numFmtId="0" fontId="1" fillId="0" borderId="0" xfId="1" applyFont="1" applyAlignment="1"/>
    <xf numFmtId="0" fontId="1" fillId="0" borderId="0" xfId="1" applyFont="1" applyAlignment="1">
      <alignment horizontal="right"/>
    </xf>
    <xf numFmtId="0" fontId="81" fillId="0" borderId="0" xfId="2"/>
    <xf numFmtId="0" fontId="6" fillId="0" borderId="0" xfId="1" applyAlignment="1">
      <alignment wrapText="1"/>
    </xf>
    <xf numFmtId="0" fontId="6" fillId="0" borderId="0" xfId="1" applyAlignment="1">
      <alignment horizontal="right" wrapText="1"/>
    </xf>
    <xf numFmtId="0" fontId="6" fillId="0" borderId="46" xfId="1" applyBorder="1" applyAlignment="1">
      <alignment horizontal="center" vertical="center" wrapText="1"/>
    </xf>
    <xf numFmtId="0" fontId="6" fillId="0" borderId="47" xfId="1" applyBorder="1" applyAlignment="1">
      <alignment horizontal="center" vertical="center" wrapText="1"/>
    </xf>
    <xf numFmtId="0" fontId="81" fillId="0" borderId="0" xfId="2" applyAlignment="1">
      <alignment wrapText="1"/>
    </xf>
    <xf numFmtId="0" fontId="2" fillId="0" borderId="48" xfId="1" applyFont="1" applyBorder="1" applyAlignment="1">
      <alignment horizontal="center" vertical="center"/>
    </xf>
    <xf numFmtId="0" fontId="2" fillId="0" borderId="49" xfId="1" applyFont="1" applyBorder="1" applyAlignment="1">
      <alignment horizontal="left" vertical="center"/>
    </xf>
    <xf numFmtId="0" fontId="5" fillId="0" borderId="16" xfId="1" applyFont="1" applyBorder="1" applyAlignment="1">
      <alignment horizontal="right" vertical="center"/>
    </xf>
    <xf numFmtId="178" fontId="2" fillId="5" borderId="50" xfId="1" applyNumberFormat="1" applyFont="1" applyFill="1" applyBorder="1" applyAlignment="1">
      <alignment horizontal="center" vertical="center"/>
    </xf>
    <xf numFmtId="0" fontId="2" fillId="5" borderId="30" xfId="1" applyFont="1" applyFill="1" applyBorder="1" applyAlignment="1">
      <alignment horizontal="center" vertical="center"/>
    </xf>
    <xf numFmtId="0" fontId="2" fillId="0" borderId="1" xfId="1" applyFont="1" applyBorder="1" applyAlignment="1">
      <alignment horizontal="center" vertical="center"/>
    </xf>
    <xf numFmtId="0" fontId="2" fillId="0" borderId="2" xfId="1" applyFont="1" applyBorder="1" applyAlignment="1">
      <alignment horizontal="left" vertical="center"/>
    </xf>
    <xf numFmtId="0" fontId="5" fillId="0" borderId="4" xfId="1" applyFont="1" applyBorder="1" applyAlignment="1">
      <alignment horizontal="right" vertical="center"/>
    </xf>
    <xf numFmtId="0" fontId="2" fillId="5" borderId="7" xfId="1" applyFont="1" applyFill="1" applyBorder="1" applyAlignment="1">
      <alignment horizontal="center" vertical="center"/>
    </xf>
    <xf numFmtId="0" fontId="2" fillId="0" borderId="5" xfId="1" applyFont="1" applyFill="1" applyBorder="1" applyAlignment="1">
      <alignment horizontal="center" vertical="center"/>
    </xf>
    <xf numFmtId="0" fontId="2" fillId="0" borderId="7" xfId="1" applyFont="1" applyFill="1" applyBorder="1" applyAlignment="1">
      <alignment horizontal="center" vertical="center"/>
    </xf>
    <xf numFmtId="0" fontId="5" fillId="0" borderId="2" xfId="1" applyFont="1" applyBorder="1" applyAlignment="1">
      <alignment horizontal="left" vertical="center"/>
    </xf>
    <xf numFmtId="178" fontId="2" fillId="5" borderId="5" xfId="1" applyNumberFormat="1" applyFont="1" applyFill="1" applyBorder="1" applyAlignment="1">
      <alignment horizontal="center" vertical="center"/>
    </xf>
    <xf numFmtId="0" fontId="2" fillId="0" borderId="51" xfId="1" applyFont="1" applyBorder="1" applyAlignment="1">
      <alignment horizontal="center" vertical="center"/>
    </xf>
    <xf numFmtId="0" fontId="2" fillId="5" borderId="52" xfId="1" applyFont="1" applyFill="1" applyBorder="1" applyAlignment="1">
      <alignment horizontal="center" vertical="center"/>
    </xf>
    <xf numFmtId="0" fontId="2" fillId="0" borderId="21" xfId="1" applyFont="1" applyBorder="1" applyAlignment="1">
      <alignment horizontal="left" vertical="center"/>
    </xf>
    <xf numFmtId="0" fontId="5" fillId="0" borderId="53" xfId="1" applyFont="1" applyBorder="1" applyAlignment="1">
      <alignment horizontal="right" vertical="center"/>
    </xf>
    <xf numFmtId="0" fontId="2" fillId="0" borderId="52" xfId="1" applyFont="1" applyFill="1" applyBorder="1" applyAlignment="1">
      <alignment horizontal="center" vertical="center"/>
    </xf>
    <xf numFmtId="0" fontId="5" fillId="0" borderId="21" xfId="1" applyFont="1" applyBorder="1" applyAlignment="1">
      <alignment horizontal="left" vertical="center"/>
    </xf>
    <xf numFmtId="0" fontId="2" fillId="0" borderId="54" xfId="1" applyFont="1" applyBorder="1" applyAlignment="1">
      <alignment horizontal="center" vertical="center"/>
    </xf>
    <xf numFmtId="0" fontId="5" fillId="0" borderId="23" xfId="1" applyFont="1" applyBorder="1" applyAlignment="1">
      <alignment horizontal="left" vertical="center"/>
    </xf>
    <xf numFmtId="0" fontId="5" fillId="0" borderId="18" xfId="1" applyFont="1" applyBorder="1" applyAlignment="1">
      <alignment horizontal="right" vertical="center"/>
    </xf>
    <xf numFmtId="178" fontId="2" fillId="5" borderId="27" xfId="1" applyNumberFormat="1" applyFont="1" applyFill="1" applyBorder="1" applyAlignment="1">
      <alignment horizontal="center" vertical="center"/>
    </xf>
    <xf numFmtId="0" fontId="2" fillId="5" borderId="17" xfId="1" applyFont="1" applyFill="1" applyBorder="1" applyAlignment="1">
      <alignment horizontal="center" vertical="center"/>
    </xf>
    <xf numFmtId="0" fontId="81" fillId="0" borderId="0" xfId="2" applyAlignment="1">
      <alignment horizontal="right"/>
    </xf>
    <xf numFmtId="178" fontId="2" fillId="5" borderId="25" xfId="1" applyNumberFormat="1" applyFont="1" applyFill="1" applyBorder="1" applyAlignment="1">
      <alignment horizontal="center" vertical="center"/>
    </xf>
    <xf numFmtId="0" fontId="4" fillId="0" borderId="0" xfId="0" applyFont="1" applyFill="1" applyBorder="1" applyAlignment="1">
      <alignment horizontal="left" vertical="center"/>
    </xf>
    <xf numFmtId="0" fontId="3" fillId="0" borderId="0" xfId="0" applyFont="1" applyFill="1" applyBorder="1" applyAlignment="1">
      <alignment horizontal="left" vertical="center"/>
    </xf>
    <xf numFmtId="0" fontId="2" fillId="0" borderId="55" xfId="0" applyFont="1" applyBorder="1" applyAlignment="1">
      <alignment horizontal="center" vertical="center"/>
    </xf>
    <xf numFmtId="0" fontId="2" fillId="0" borderId="50" xfId="0" applyFont="1" applyBorder="1" applyAlignment="1">
      <alignment horizontal="left" vertical="center"/>
    </xf>
    <xf numFmtId="0" fontId="2" fillId="0" borderId="42" xfId="0" applyFont="1" applyBorder="1" applyAlignment="1">
      <alignment horizontal="center" vertical="center"/>
    </xf>
    <xf numFmtId="0" fontId="2" fillId="0" borderId="5" xfId="0" applyFont="1" applyBorder="1" applyAlignment="1">
      <alignment horizontal="left" vertical="center"/>
    </xf>
    <xf numFmtId="0" fontId="5" fillId="0" borderId="5" xfId="0" applyFont="1" applyBorder="1" applyAlignment="1">
      <alignment horizontal="left" vertical="center"/>
    </xf>
    <xf numFmtId="0" fontId="2" fillId="0" borderId="28" xfId="0" applyFont="1" applyBorder="1" applyAlignment="1">
      <alignment horizontal="center" vertical="center"/>
    </xf>
    <xf numFmtId="0" fontId="5" fillId="0" borderId="27" xfId="0" applyFont="1" applyBorder="1" applyAlignment="1">
      <alignment horizontal="left" vertical="center"/>
    </xf>
    <xf numFmtId="178" fontId="2" fillId="5" borderId="5" xfId="0" applyNumberFormat="1" applyFont="1" applyFill="1" applyBorder="1" applyAlignment="1">
      <alignment horizontal="center" vertical="center"/>
    </xf>
    <xf numFmtId="0" fontId="2" fillId="5" borderId="30" xfId="0" applyFont="1" applyFill="1" applyBorder="1" applyAlignment="1">
      <alignment horizontal="center" vertical="center"/>
    </xf>
    <xf numFmtId="0" fontId="2" fillId="0" borderId="7" xfId="0" applyFont="1" applyFill="1" applyBorder="1" applyAlignment="1">
      <alignment horizontal="center" vertical="center"/>
    </xf>
    <xf numFmtId="178" fontId="2" fillId="5" borderId="27" xfId="0" applyNumberFormat="1" applyFont="1" applyFill="1" applyBorder="1" applyAlignment="1">
      <alignment horizontal="center" vertical="center"/>
    </xf>
    <xf numFmtId="0" fontId="2" fillId="5" borderId="17" xfId="0" applyFont="1" applyFill="1" applyBorder="1" applyAlignment="1">
      <alignment horizontal="center" vertical="center"/>
    </xf>
    <xf numFmtId="0" fontId="81" fillId="0" borderId="0" xfId="3"/>
    <xf numFmtId="0" fontId="55" fillId="0" borderId="0" xfId="3" applyFont="1" applyFill="1" applyAlignment="1">
      <alignment vertical="center"/>
    </xf>
    <xf numFmtId="0" fontId="55" fillId="0" borderId="56" xfId="3" applyFont="1" applyFill="1" applyBorder="1" applyAlignment="1">
      <alignment horizontal="center" vertical="center"/>
    </xf>
    <xf numFmtId="0" fontId="56" fillId="0" borderId="0" xfId="3" applyFont="1" applyFill="1" applyAlignment="1">
      <alignment horizontal="left" vertical="center"/>
    </xf>
    <xf numFmtId="0" fontId="55" fillId="0" borderId="13" xfId="3" applyFont="1" applyFill="1" applyBorder="1" applyAlignment="1">
      <alignment vertical="center"/>
    </xf>
    <xf numFmtId="0" fontId="55" fillId="0" borderId="0" xfId="3" applyFont="1" applyFill="1" applyBorder="1" applyAlignment="1">
      <alignment vertical="center"/>
    </xf>
    <xf numFmtId="0" fontId="55" fillId="0" borderId="14" xfId="3" applyFont="1" applyFill="1" applyBorder="1" applyAlignment="1">
      <alignment vertical="center"/>
    </xf>
    <xf numFmtId="0" fontId="57" fillId="0" borderId="13" xfId="3" applyFont="1" applyFill="1" applyBorder="1" applyAlignment="1">
      <alignment vertical="center"/>
    </xf>
    <xf numFmtId="0" fontId="55" fillId="0" borderId="13" xfId="3" applyFont="1" applyFill="1" applyBorder="1" applyAlignment="1">
      <alignment horizontal="right" vertical="center"/>
    </xf>
    <xf numFmtId="0" fontId="55" fillId="0" borderId="0" xfId="3" applyFont="1" applyFill="1" applyBorder="1" applyAlignment="1">
      <alignment horizontal="right" vertical="center"/>
    </xf>
    <xf numFmtId="0" fontId="55" fillId="0" borderId="13" xfId="3" applyFont="1" applyBorder="1" applyAlignment="1">
      <alignment vertical="center"/>
    </xf>
    <xf numFmtId="0" fontId="55" fillId="0" borderId="0" xfId="3" applyFont="1" applyBorder="1" applyAlignment="1">
      <alignment vertical="center"/>
    </xf>
    <xf numFmtId="0" fontId="55" fillId="0" borderId="14" xfId="3" applyFont="1" applyBorder="1" applyAlignment="1">
      <alignment vertical="center"/>
    </xf>
    <xf numFmtId="0" fontId="57" fillId="0" borderId="13" xfId="3" applyFont="1" applyBorder="1" applyAlignment="1">
      <alignment vertical="center"/>
    </xf>
    <xf numFmtId="0" fontId="59" fillId="0" borderId="14" xfId="3" applyFont="1" applyBorder="1" applyAlignment="1">
      <alignment horizontal="center" vertical="center"/>
    </xf>
    <xf numFmtId="0" fontId="59" fillId="0" borderId="0" xfId="3" applyFont="1" applyBorder="1" applyAlignment="1">
      <alignment horizontal="right" vertical="center"/>
    </xf>
    <xf numFmtId="0" fontId="59" fillId="0" borderId="0" xfId="3" applyFont="1" applyBorder="1" applyAlignment="1">
      <alignment horizontal="center" vertical="center" wrapText="1"/>
    </xf>
    <xf numFmtId="0" fontId="55" fillId="0" borderId="0" xfId="3" applyFont="1" applyBorder="1" applyAlignment="1">
      <alignment horizontal="right" vertical="center"/>
    </xf>
    <xf numFmtId="0" fontId="55" fillId="0" borderId="56" xfId="3" applyFont="1" applyBorder="1" applyAlignment="1">
      <alignment horizontal="center" vertical="center"/>
    </xf>
    <xf numFmtId="0" fontId="55" fillId="0" borderId="2" xfId="3" applyFont="1" applyBorder="1" applyAlignment="1">
      <alignment horizontal="center" vertical="center"/>
    </xf>
    <xf numFmtId="0" fontId="55" fillId="0" borderId="14" xfId="3" applyFont="1" applyBorder="1" applyAlignment="1"/>
    <xf numFmtId="0" fontId="55" fillId="0" borderId="56" xfId="3" applyFont="1" applyBorder="1" applyAlignment="1">
      <alignment vertical="center"/>
    </xf>
    <xf numFmtId="0" fontId="55" fillId="0" borderId="57" xfId="3" applyFont="1" applyBorder="1" applyAlignment="1">
      <alignment vertical="center"/>
    </xf>
    <xf numFmtId="0" fontId="55" fillId="0" borderId="0" xfId="3" applyFont="1" applyAlignment="1">
      <alignment horizontal="right" vertical="center"/>
    </xf>
    <xf numFmtId="0" fontId="55" fillId="0" borderId="0" xfId="3" applyFont="1" applyAlignment="1">
      <alignment vertical="center"/>
    </xf>
    <xf numFmtId="0" fontId="59" fillId="0" borderId="0" xfId="3" applyFont="1" applyAlignment="1">
      <alignment vertical="center"/>
    </xf>
    <xf numFmtId="0" fontId="59" fillId="0" borderId="0" xfId="3" applyFont="1" applyAlignment="1">
      <alignment horizontal="right" vertical="center"/>
    </xf>
    <xf numFmtId="0" fontId="55" fillId="0" borderId="13" xfId="3" applyFont="1" applyBorder="1" applyAlignment="1">
      <alignment horizontal="right" vertical="center"/>
    </xf>
    <xf numFmtId="0" fontId="55" fillId="0" borderId="21" xfId="3" applyFont="1" applyBorder="1" applyAlignment="1">
      <alignment horizontal="center" vertical="center"/>
    </xf>
    <xf numFmtId="0" fontId="55" fillId="0" borderId="0" xfId="3" applyFont="1" applyBorder="1" applyAlignment="1">
      <alignment horizontal="center" vertical="center"/>
    </xf>
    <xf numFmtId="178" fontId="55" fillId="0" borderId="56" xfId="3" applyNumberFormat="1" applyFont="1" applyFill="1" applyBorder="1" applyAlignment="1">
      <alignment horizontal="center" vertical="center"/>
    </xf>
    <xf numFmtId="15" fontId="9" fillId="4" borderId="33" xfId="0" applyNumberFormat="1" applyFont="1" applyFill="1" applyBorder="1" applyAlignment="1" applyProtection="1">
      <alignment horizontal="center"/>
    </xf>
    <xf numFmtId="0" fontId="79" fillId="5" borderId="7" xfId="0" applyFont="1" applyFill="1" applyBorder="1" applyAlignment="1">
      <alignment horizontal="center" vertical="center"/>
    </xf>
    <xf numFmtId="0" fontId="2" fillId="0" borderId="3" xfId="0" applyFont="1" applyFill="1" applyBorder="1" applyAlignment="1">
      <alignment horizontal="center" vertical="center"/>
    </xf>
    <xf numFmtId="15" fontId="2" fillId="0" borderId="5" xfId="0" applyNumberFormat="1" applyFont="1" applyFill="1" applyBorder="1" applyAlignment="1">
      <alignment horizontal="center" vertical="center"/>
    </xf>
    <xf numFmtId="0" fontId="52" fillId="0" borderId="0" xfId="3" applyFont="1" applyAlignment="1">
      <alignment horizontal="center" vertical="center"/>
    </xf>
    <xf numFmtId="14" fontId="55" fillId="0" borderId="56" xfId="3" applyNumberFormat="1" applyFont="1" applyFill="1" applyBorder="1" applyAlignment="1">
      <alignment horizontal="center" vertical="center"/>
    </xf>
    <xf numFmtId="0" fontId="55" fillId="0" borderId="56" xfId="3" applyFont="1" applyFill="1" applyBorder="1" applyAlignment="1">
      <alignment horizontal="center" vertical="center"/>
    </xf>
    <xf numFmtId="0" fontId="55" fillId="0" borderId="0" xfId="3" applyFont="1" applyFill="1" applyAlignment="1">
      <alignment horizontal="right" vertical="center"/>
    </xf>
    <xf numFmtId="0" fontId="55" fillId="0" borderId="0" xfId="3" applyFont="1" applyBorder="1" applyAlignment="1">
      <alignment horizontal="right" vertical="center"/>
    </xf>
    <xf numFmtId="0" fontId="55" fillId="0" borderId="0" xfId="3" applyFont="1" applyBorder="1" applyAlignment="1">
      <alignment horizontal="right" vertical="center" wrapText="1"/>
    </xf>
    <xf numFmtId="0" fontId="55" fillId="0" borderId="2" xfId="3" applyFont="1" applyFill="1" applyBorder="1" applyAlignment="1">
      <alignment horizontal="center" vertical="center"/>
    </xf>
    <xf numFmtId="0" fontId="53" fillId="0" borderId="20" xfId="3" applyFont="1" applyFill="1" applyBorder="1" applyAlignment="1">
      <alignment horizontal="center" vertical="center"/>
    </xf>
    <xf numFmtId="0" fontId="53" fillId="0" borderId="21" xfId="3" applyFont="1" applyFill="1" applyBorder="1" applyAlignment="1">
      <alignment horizontal="center" vertical="center"/>
    </xf>
    <xf numFmtId="0" fontId="53" fillId="0" borderId="53" xfId="3" applyFont="1" applyFill="1" applyBorder="1" applyAlignment="1">
      <alignment horizontal="center" vertical="center"/>
    </xf>
    <xf numFmtId="0" fontId="58" fillId="0" borderId="13" xfId="3" applyFont="1" applyFill="1" applyBorder="1" applyAlignment="1">
      <alignment horizontal="center" vertical="center"/>
    </xf>
    <xf numFmtId="0" fontId="58" fillId="0" borderId="0" xfId="3" applyFont="1" applyFill="1" applyBorder="1" applyAlignment="1">
      <alignment horizontal="center" vertical="center"/>
    </xf>
    <xf numFmtId="0" fontId="58" fillId="0" borderId="14" xfId="3" applyFont="1" applyFill="1" applyBorder="1" applyAlignment="1">
      <alignment horizontal="center" vertical="center"/>
    </xf>
    <xf numFmtId="14" fontId="55" fillId="0" borderId="56" xfId="3" applyNumberFormat="1" applyFont="1" applyBorder="1" applyAlignment="1">
      <alignment horizontal="center" vertical="center"/>
    </xf>
    <xf numFmtId="0" fontId="55" fillId="0" borderId="13" xfId="3" applyFont="1" applyBorder="1" applyAlignment="1">
      <alignment horizontal="right" vertical="center"/>
    </xf>
    <xf numFmtId="0" fontId="55" fillId="0" borderId="56" xfId="3" applyFont="1" applyBorder="1" applyAlignment="1">
      <alignment horizontal="center" vertical="center"/>
    </xf>
    <xf numFmtId="0" fontId="63" fillId="0" borderId="13" xfId="3" applyFont="1" applyBorder="1" applyAlignment="1">
      <alignment horizontal="right" vertical="center"/>
    </xf>
    <xf numFmtId="0" fontId="63" fillId="0" borderId="0" xfId="3" applyFont="1" applyBorder="1" applyAlignment="1">
      <alignment horizontal="right" vertical="center"/>
    </xf>
    <xf numFmtId="0" fontId="55" fillId="0" borderId="41" xfId="3" applyFont="1" applyBorder="1" applyAlignment="1">
      <alignment horizontal="right" vertical="center"/>
    </xf>
    <xf numFmtId="0" fontId="55" fillId="0" borderId="56" xfId="3" applyFont="1" applyBorder="1" applyAlignment="1">
      <alignment horizontal="right" vertical="center"/>
    </xf>
    <xf numFmtId="172" fontId="11" fillId="0" borderId="2" xfId="0" applyNumberFormat="1" applyFont="1" applyFill="1" applyBorder="1" applyAlignment="1" applyProtection="1">
      <alignment horizontal="center"/>
    </xf>
    <xf numFmtId="0" fontId="0" fillId="0" borderId="4" xfId="0" applyBorder="1"/>
    <xf numFmtId="0" fontId="23" fillId="5" borderId="5" xfId="0" applyFont="1" applyFill="1" applyBorder="1" applyAlignment="1" applyProtection="1">
      <alignment horizontal="center" vertical="distributed" readingOrder="1"/>
    </xf>
    <xf numFmtId="0" fontId="24" fillId="5" borderId="5" xfId="0" applyFont="1" applyFill="1" applyBorder="1" applyAlignment="1">
      <alignment horizontal="center" vertical="distributed" readingOrder="1"/>
    </xf>
    <xf numFmtId="171" fontId="11" fillId="0" borderId="1" xfId="0" applyNumberFormat="1" applyFont="1" applyFill="1" applyBorder="1" applyAlignment="1" applyProtection="1">
      <alignment horizontal="center"/>
    </xf>
    <xf numFmtId="0" fontId="0" fillId="0" borderId="2" xfId="0" applyBorder="1" applyAlignment="1">
      <alignment horizontal="center"/>
    </xf>
    <xf numFmtId="0" fontId="0" fillId="0" borderId="4" xfId="0" applyBorder="1" applyAlignment="1">
      <alignment horizontal="center"/>
    </xf>
    <xf numFmtId="0" fontId="35" fillId="0" borderId="0" xfId="0" applyFont="1" applyFill="1" applyBorder="1" applyAlignment="1" applyProtection="1">
      <alignment horizontal="justify" vertical="top" wrapText="1"/>
    </xf>
    <xf numFmtId="0" fontId="9" fillId="5" borderId="0" xfId="0" applyFont="1" applyFill="1" applyBorder="1" applyAlignment="1" applyProtection="1">
      <alignment horizontal="center"/>
      <protection locked="0"/>
    </xf>
    <xf numFmtId="0" fontId="35" fillId="0" borderId="0" xfId="0" applyFont="1" applyFill="1" applyBorder="1" applyAlignment="1" applyProtection="1">
      <alignment horizontal="left"/>
    </xf>
    <xf numFmtId="166" fontId="11" fillId="0" borderId="1" xfId="0" applyNumberFormat="1" applyFont="1" applyFill="1" applyBorder="1" applyAlignment="1" applyProtection="1">
      <alignment horizontal="center"/>
    </xf>
    <xf numFmtId="0" fontId="11" fillId="0" borderId="24" xfId="0" applyFont="1" applyFill="1" applyBorder="1" applyAlignment="1" applyProtection="1">
      <alignment horizontal="center"/>
    </xf>
    <xf numFmtId="0" fontId="4" fillId="0" borderId="4" xfId="0" applyFont="1" applyBorder="1" applyAlignment="1">
      <alignment horizontal="center"/>
    </xf>
    <xf numFmtId="0" fontId="9" fillId="0" borderId="5" xfId="0" applyFont="1" applyFill="1" applyBorder="1" applyAlignment="1" applyProtection="1">
      <alignment horizontal="center" vertical="center"/>
    </xf>
    <xf numFmtId="0" fontId="7" fillId="5" borderId="0" xfId="0" applyFont="1" applyFill="1" applyBorder="1" applyAlignment="1" applyProtection="1">
      <alignment horizontal="center"/>
    </xf>
    <xf numFmtId="167" fontId="11" fillId="5" borderId="8" xfId="0" applyNumberFormat="1" applyFont="1" applyFill="1" applyBorder="1" applyAlignment="1" applyProtection="1">
      <alignment horizontal="center"/>
    </xf>
    <xf numFmtId="0" fontId="7" fillId="0" borderId="0" xfId="0" applyFont="1" applyFill="1" applyBorder="1" applyAlignment="1" applyProtection="1">
      <alignment horizontal="center"/>
    </xf>
    <xf numFmtId="0" fontId="8" fillId="0" borderId="0" xfId="0" applyFont="1" applyAlignment="1">
      <alignment horizontal="center"/>
    </xf>
    <xf numFmtId="166" fontId="12" fillId="5" borderId="8" xfId="0" applyNumberFormat="1" applyFont="1" applyFill="1" applyBorder="1" applyAlignment="1" applyProtection="1">
      <alignment horizontal="center"/>
      <protection locked="0"/>
    </xf>
    <xf numFmtId="0" fontId="18" fillId="0" borderId="48" xfId="0" applyFont="1" applyFill="1" applyBorder="1" applyAlignment="1" applyProtection="1">
      <alignment horizontal="center"/>
    </xf>
    <xf numFmtId="0" fontId="20" fillId="0" borderId="58" xfId="0" applyFont="1" applyBorder="1" applyAlignment="1">
      <alignment horizontal="center"/>
    </xf>
    <xf numFmtId="0" fontId="9" fillId="0" borderId="24" xfId="0" applyFont="1" applyFill="1" applyBorder="1" applyAlignment="1" applyProtection="1">
      <alignment horizontal="center" vertical="center"/>
    </xf>
    <xf numFmtId="0" fontId="9" fillId="0" borderId="2" xfId="0" applyFont="1" applyFill="1" applyBorder="1" applyAlignment="1" applyProtection="1">
      <alignment horizontal="center" vertical="center"/>
    </xf>
    <xf numFmtId="0" fontId="9" fillId="0" borderId="4" xfId="0" applyFont="1" applyFill="1" applyBorder="1" applyAlignment="1" applyProtection="1">
      <alignment horizontal="center" vertical="center"/>
    </xf>
    <xf numFmtId="0" fontId="23" fillId="5" borderId="4" xfId="0" applyFont="1" applyFill="1" applyBorder="1" applyAlignment="1" applyProtection="1">
      <alignment horizontal="center" vertical="distributed" readingOrder="1"/>
    </xf>
    <xf numFmtId="0" fontId="24" fillId="5" borderId="4" xfId="0" applyFont="1" applyFill="1" applyBorder="1" applyAlignment="1">
      <alignment horizontal="center" vertical="distributed" readingOrder="1"/>
    </xf>
    <xf numFmtId="15" fontId="55" fillId="0" borderId="56" xfId="3" applyNumberFormat="1" applyFont="1" applyFill="1" applyBorder="1" applyAlignment="1">
      <alignment horizontal="center" vertical="center"/>
    </xf>
    <xf numFmtId="178" fontId="55" fillId="0" borderId="56" xfId="3" applyNumberFormat="1" applyFont="1" applyBorder="1" applyAlignment="1">
      <alignment horizontal="center" vertical="center"/>
    </xf>
    <xf numFmtId="0" fontId="25" fillId="0" borderId="0" xfId="0" applyFont="1" applyAlignment="1">
      <alignment horizontal="left" vertical="center"/>
    </xf>
    <xf numFmtId="166" fontId="25" fillId="0" borderId="0" xfId="0" applyNumberFormat="1" applyFont="1" applyAlignment="1">
      <alignment horizontal="center"/>
    </xf>
    <xf numFmtId="0" fontId="25" fillId="0" borderId="0" xfId="0" applyFont="1" applyAlignment="1">
      <alignment horizontal="center"/>
    </xf>
    <xf numFmtId="0" fontId="1" fillId="0" borderId="0" xfId="0" applyFont="1" applyAlignment="1">
      <alignment horizontal="left"/>
    </xf>
    <xf numFmtId="164" fontId="2" fillId="0" borderId="48" xfId="0" applyNumberFormat="1" applyFont="1" applyBorder="1" applyAlignment="1">
      <alignment horizontal="right" vertical="center"/>
    </xf>
    <xf numFmtId="164" fontId="2" fillId="0" borderId="16" xfId="0" applyNumberFormat="1" applyFont="1" applyBorder="1" applyAlignment="1">
      <alignment horizontal="right" vertical="center"/>
    </xf>
    <xf numFmtId="0" fontId="3" fillId="0" borderId="59" xfId="0" applyFont="1" applyBorder="1" applyAlignment="1">
      <alignment horizontal="left" vertical="center"/>
    </xf>
    <xf numFmtId="0" fontId="3" fillId="0" borderId="60" xfId="0" applyFont="1" applyBorder="1" applyAlignment="1">
      <alignment horizontal="left" vertical="center"/>
    </xf>
    <xf numFmtId="0" fontId="50" fillId="0" borderId="5" xfId="0" applyFont="1" applyBorder="1" applyAlignment="1">
      <alignment horizontal="left" vertical="center" wrapText="1"/>
    </xf>
    <xf numFmtId="0" fontId="50" fillId="0" borderId="5" xfId="0" applyFont="1" applyBorder="1" applyAlignment="1">
      <alignment horizontal="left" vertical="center"/>
    </xf>
    <xf numFmtId="0" fontId="72" fillId="0" borderId="13" xfId="3" applyFont="1" applyBorder="1" applyAlignment="1">
      <alignment horizontal="left" vertical="center"/>
    </xf>
    <xf numFmtId="0" fontId="72" fillId="0" borderId="0" xfId="3" applyFont="1" applyBorder="1" applyAlignment="1">
      <alignment horizontal="left" vertical="center"/>
    </xf>
    <xf numFmtId="0" fontId="72" fillId="0" borderId="14" xfId="3" applyFont="1" applyBorder="1" applyAlignment="1">
      <alignment horizontal="left" vertical="center"/>
    </xf>
    <xf numFmtId="0" fontId="72" fillId="0" borderId="41" xfId="3" applyFont="1" applyBorder="1" applyAlignment="1">
      <alignment horizontal="left" vertical="center" wrapText="1"/>
    </xf>
    <xf numFmtId="0" fontId="72" fillId="0" borderId="56" xfId="3" applyFont="1" applyBorder="1" applyAlignment="1">
      <alignment horizontal="left" vertical="center" wrapText="1"/>
    </xf>
    <xf numFmtId="0" fontId="72" fillId="0" borderId="57" xfId="3" applyFont="1" applyBorder="1" applyAlignment="1">
      <alignment horizontal="left" vertical="center" wrapText="1"/>
    </xf>
  </cellXfs>
  <cellStyles count="6">
    <cellStyle name="Normal" xfId="0" builtinId="0"/>
    <cellStyle name="Normal 2" xfId="1"/>
    <cellStyle name="Normal 3" xfId="2"/>
    <cellStyle name="Normal 4" xfId="3"/>
    <cellStyle name="Percent" xfId="4" builtinId="5"/>
    <cellStyle name="Percent 2" xf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ctrlProps/ctrlProp1.xml><?xml version="1.0" encoding="utf-8"?>
<formControlPr xmlns="http://schemas.microsoft.com/office/spreadsheetml/2009/9/main" objectType="CheckBox" checked="Checked" lockText="1"/>
</file>

<file path=xl/ctrlProps/ctrlProp2.xml><?xml version="1.0" encoding="utf-8"?>
<formControlPr xmlns="http://schemas.microsoft.com/office/spreadsheetml/2009/9/main" objectType="CheckBox" lockText="1"/>
</file>

<file path=xl/ctrlProps/ctrlProp3.xml><?xml version="1.0" encoding="utf-8"?>
<formControlPr xmlns="http://schemas.microsoft.com/office/spreadsheetml/2009/9/main" objectType="CheckBox" checked="Checked" lockText="1"/>
</file>

<file path=xl/ctrlProps/ctrlProp4.xml><?xml version="1.0" encoding="utf-8"?>
<formControlPr xmlns="http://schemas.microsoft.com/office/spreadsheetml/2009/9/main" objectType="CheckBox" lockText="1"/>
</file>

<file path=xl/ctrlProps/ctrlProp5.xml><?xml version="1.0" encoding="utf-8"?>
<formControlPr xmlns="http://schemas.microsoft.com/office/spreadsheetml/2009/9/main" objectType="CheckBox" checked="Checked" lockText="1"/>
</file>

<file path=xl/ctrlProps/ctrlProp6.xml><?xml version="1.0" encoding="utf-8"?>
<formControlPr xmlns="http://schemas.microsoft.com/office/spreadsheetml/2009/9/main" objectType="CheckBox" lockText="1"/>
</file>

<file path=xl/ctrlProps/ctrlProp7.xml><?xml version="1.0" encoding="utf-8"?>
<formControlPr xmlns="http://schemas.microsoft.com/office/spreadsheetml/2009/9/main" objectType="CheckBox" checked="Checked" lockText="1"/>
</file>

<file path=xl/ctrlProps/ctrlProp8.xml><?xml version="1.0" encoding="utf-8"?>
<formControlPr xmlns="http://schemas.microsoft.com/office/spreadsheetml/2009/9/main" objectType="CheckBox" lockText="1"/>
</file>

<file path=xl/ctrlProps/ctrlProp9.xml><?xml version="1.0" encoding="utf-8"?>
<formControlPr xmlns="http://schemas.microsoft.com/office/spreadsheetml/2009/9/main" objectType="CheckBox" checked="Checked" lockText="1"/>
</file>

<file path=xl/ctrlProps/ctrlProp10.xml><?xml version="1.0" encoding="utf-8"?>
<formControlPr xmlns="http://schemas.microsoft.com/office/spreadsheetml/2009/9/main" objectType="CheckBox" lockText="1"/>
</file>

<file path=xl/ctrlProps/ctrlProp11.xml><?xml version="1.0" encoding="utf-8"?>
<formControlPr xmlns="http://schemas.microsoft.com/office/spreadsheetml/2009/9/main" objectType="CheckBox" checked="Checked" lockText="1"/>
</file>

<file path=xl/ctrlProps/ctrlProp12.xml><?xml version="1.0" encoding="utf-8"?>
<formControlPr xmlns="http://schemas.microsoft.com/office/spreadsheetml/2009/9/main" objectType="CheckBox" lockText="1"/>
</file>

<file path=xl/ctrlProps/ctrlProp13.xml><?xml version="1.0" encoding="utf-8"?>
<formControlPr xmlns="http://schemas.microsoft.com/office/spreadsheetml/2009/9/main" objectType="CheckBox" checked="Checked" lockText="1"/>
</file>

<file path=xl/ctrlProps/ctrlProp14.xml><?xml version="1.0" encoding="utf-8"?>
<formControlPr xmlns="http://schemas.microsoft.com/office/spreadsheetml/2009/9/main" objectType="CheckBox" lockText="1"/>
</file>

<file path=xl/ctrlProps/ctrlProp15.xml><?xml version="1.0" encoding="utf-8"?>
<formControlPr xmlns="http://schemas.microsoft.com/office/spreadsheetml/2009/9/main" objectType="CheckBox" lockText="1"/>
</file>

<file path=xl/ctrlProps/ctrlProp16.xml><?xml version="1.0" encoding="utf-8"?>
<formControlPr xmlns="http://schemas.microsoft.com/office/spreadsheetml/2009/9/main" objectType="CheckBox" checked="Checked" lockText="1"/>
</file>

<file path=xl/ctrlProps/ctrlProp17.xml><?xml version="1.0" encoding="utf-8"?>
<formControlPr xmlns="http://schemas.microsoft.com/office/spreadsheetml/2009/9/main" objectType="CheckBox" lockText="1"/>
</file>

<file path=xl/ctrlProps/ctrlProp18.xml><?xml version="1.0" encoding="utf-8"?>
<formControlPr xmlns="http://schemas.microsoft.com/office/spreadsheetml/2009/9/main" objectType="CheckBox" lockText="1"/>
</file>

<file path=xl/ctrlProps/ctrlProp19.xml><?xml version="1.0" encoding="utf-8"?>
<formControlPr xmlns="http://schemas.microsoft.com/office/spreadsheetml/2009/9/main" objectType="CheckBox" lockText="1"/>
</file>

<file path=xl/ctrlProps/ctrlProp20.xml><?xml version="1.0" encoding="utf-8"?>
<formControlPr xmlns="http://schemas.microsoft.com/office/spreadsheetml/2009/9/main" objectType="CheckBox" checked="Checked" lockText="1"/>
</file>

<file path=xl/ctrlProps/ctrlProp21.xml><?xml version="1.0" encoding="utf-8"?>
<formControlPr xmlns="http://schemas.microsoft.com/office/spreadsheetml/2009/9/main" objectType="CheckBox" lockText="1"/>
</file>

<file path=xl/ctrlProps/ctrlProp22.xml><?xml version="1.0" encoding="utf-8"?>
<formControlPr xmlns="http://schemas.microsoft.com/office/spreadsheetml/2009/9/main" objectType="CheckBox" checked="Checked" lockText="1"/>
</file>

<file path=xl/ctrlProps/ctrlProp23.xml><?xml version="1.0" encoding="utf-8"?>
<formControlPr xmlns="http://schemas.microsoft.com/office/spreadsheetml/2009/9/main" objectType="CheckBox" lockText="1"/>
</file>

<file path=xl/ctrlProps/ctrlProp24.xml><?xml version="1.0" encoding="utf-8"?>
<formControlPr xmlns="http://schemas.microsoft.com/office/spreadsheetml/2009/9/main" objectType="CheckBox" checked="Checked" lockText="1"/>
</file>

<file path=xl/ctrlProps/ctrlProp25.xml><?xml version="1.0" encoding="utf-8"?>
<formControlPr xmlns="http://schemas.microsoft.com/office/spreadsheetml/2009/9/main" objectType="CheckBox" lockText="1"/>
</file>

<file path=xl/ctrlProps/ctrlProp26.xml><?xml version="1.0" encoding="utf-8"?>
<formControlPr xmlns="http://schemas.microsoft.com/office/spreadsheetml/2009/9/main" objectType="CheckBox" checked="Checked" lockText="1"/>
</file>

<file path=xl/ctrlProps/ctrlProp27.xml><?xml version="1.0" encoding="utf-8"?>
<formControlPr xmlns="http://schemas.microsoft.com/office/spreadsheetml/2009/9/main" objectType="CheckBox" lockText="1"/>
</file>

<file path=xl/ctrlProps/ctrlProp28.xml><?xml version="1.0" encoding="utf-8"?>
<formControlPr xmlns="http://schemas.microsoft.com/office/spreadsheetml/2009/9/main" objectType="CheckBox" checked="Checked" lockText="1"/>
</file>

<file path=xl/ctrlProps/ctrlProp29.xml><?xml version="1.0" encoding="utf-8"?>
<formControlPr xmlns="http://schemas.microsoft.com/office/spreadsheetml/2009/9/main" objectType="CheckBox" lockText="1"/>
</file>

<file path=xl/ctrlProps/ctrlProp30.xml><?xml version="1.0" encoding="utf-8"?>
<formControlPr xmlns="http://schemas.microsoft.com/office/spreadsheetml/2009/9/main" objectType="CheckBox" checked="Checked" lockText="1"/>
</file>

<file path=xl/ctrlProps/ctrlProp31.xml><?xml version="1.0" encoding="utf-8"?>
<formControlPr xmlns="http://schemas.microsoft.com/office/spreadsheetml/2009/9/main" objectType="CheckBox" lockText="1"/>
</file>

<file path=xl/ctrlProps/ctrlProp32.xml><?xml version="1.0" encoding="utf-8"?>
<formControlPr xmlns="http://schemas.microsoft.com/office/spreadsheetml/2009/9/main" objectType="CheckBox" checked="Checked" lockText="1"/>
</file>

<file path=xl/ctrlProps/ctrlProp33.xml><?xml version="1.0" encoding="utf-8"?>
<formControlPr xmlns="http://schemas.microsoft.com/office/spreadsheetml/2009/9/main" objectType="CheckBox" lockText="1"/>
</file>

<file path=xl/ctrlProps/ctrlProp34.xml><?xml version="1.0" encoding="utf-8"?>
<formControlPr xmlns="http://schemas.microsoft.com/office/spreadsheetml/2009/9/main" objectType="CheckBox" lockText="1"/>
</file>

<file path=xl/ctrlProps/ctrlProp35.xml><?xml version="1.0" encoding="utf-8"?>
<formControlPr xmlns="http://schemas.microsoft.com/office/spreadsheetml/2009/9/main" objectType="CheckBox" lockText="1"/>
</file>

<file path=xl/ctrlProps/ctrlProp36.xml><?xml version="1.0" encoding="utf-8"?>
<formControlPr xmlns="http://schemas.microsoft.com/office/spreadsheetml/2009/9/main" objectType="CheckBox" lockText="1"/>
</file>

<file path=xl/ctrlProps/ctrlProp37.xml><?xml version="1.0" encoding="utf-8"?>
<formControlPr xmlns="http://schemas.microsoft.com/office/spreadsheetml/2009/9/main" objectType="CheckBox" lockText="1"/>
</file>

<file path=xl/ctrlProps/ctrlProp38.xml><?xml version="1.0" encoding="utf-8"?>
<formControlPr xmlns="http://schemas.microsoft.com/office/spreadsheetml/2009/9/main" objectType="CheckBox" checked="Checked" lockText="1"/>
</file>

<file path=xl/ctrlProps/ctrlProp39.xml><?xml version="1.0" encoding="utf-8"?>
<formControlPr xmlns="http://schemas.microsoft.com/office/spreadsheetml/2009/9/main" objectType="CheckBox" lockText="1"/>
</file>

<file path=xl/ctrlProps/ctrlProp40.xml><?xml version="1.0" encoding="utf-8"?>
<formControlPr xmlns="http://schemas.microsoft.com/office/spreadsheetml/2009/9/main" objectType="CheckBox" checked="Checked" lockText="1"/>
</file>

<file path=xl/ctrlProps/ctrlProp41.xml><?xml version="1.0" encoding="utf-8"?>
<formControlPr xmlns="http://schemas.microsoft.com/office/spreadsheetml/2009/9/main" objectType="CheckBox" lockText="1"/>
</file>

<file path=xl/ctrlProps/ctrlProp42.xml><?xml version="1.0" encoding="utf-8"?>
<formControlPr xmlns="http://schemas.microsoft.com/office/spreadsheetml/2009/9/main" objectType="CheckBox" checked="Checked" lockText="1"/>
</file>

<file path=xl/ctrlProps/ctrlProp43.xml><?xml version="1.0" encoding="utf-8"?>
<formControlPr xmlns="http://schemas.microsoft.com/office/spreadsheetml/2009/9/main" objectType="CheckBox" lockText="1"/>
</file>

<file path=xl/ctrlProps/ctrlProp44.xml><?xml version="1.0" encoding="utf-8"?>
<formControlPr xmlns="http://schemas.microsoft.com/office/spreadsheetml/2009/9/main" objectType="CheckBox" checked="Checked" lockText="1"/>
</file>

<file path=xl/ctrlProps/ctrlProp45.xml><?xml version="1.0" encoding="utf-8"?>
<formControlPr xmlns="http://schemas.microsoft.com/office/spreadsheetml/2009/9/main" objectType="CheckBox" lockText="1"/>
</file>

<file path=xl/ctrlProps/ctrlProp46.xml><?xml version="1.0" encoding="utf-8"?>
<formControlPr xmlns="http://schemas.microsoft.com/office/spreadsheetml/2009/9/main" objectType="CheckBox" checked="Checked" lockText="1"/>
</file>

<file path=xl/ctrlProps/ctrlProp47.xml><?xml version="1.0" encoding="utf-8"?>
<formControlPr xmlns="http://schemas.microsoft.com/office/spreadsheetml/2009/9/main" objectType="CheckBox" lockText="1"/>
</file>

<file path=xl/ctrlProps/ctrlProp48.xml><?xml version="1.0" encoding="utf-8"?>
<formControlPr xmlns="http://schemas.microsoft.com/office/spreadsheetml/2009/9/main" objectType="CheckBox" lockText="1"/>
</file>

<file path=xl/ctrlProps/ctrlProp49.xml><?xml version="1.0" encoding="utf-8"?>
<formControlPr xmlns="http://schemas.microsoft.com/office/spreadsheetml/2009/9/main" objectType="CheckBox" lockText="1"/>
</file>

<file path=xl/ctrlProps/ctrlProp50.xml><?xml version="1.0" encoding="utf-8"?>
<formControlPr xmlns="http://schemas.microsoft.com/office/spreadsheetml/2009/9/main" objectType="CheckBox" checked="Checked" lockText="1"/>
</file>

<file path=xl/ctrlProps/ctrlProp51.xml><?xml version="1.0" encoding="utf-8"?>
<formControlPr xmlns="http://schemas.microsoft.com/office/spreadsheetml/2009/9/main" objectType="CheckBox" lockText="1"/>
</file>

<file path=xl/ctrlProps/ctrlProp52.xml><?xml version="1.0" encoding="utf-8"?>
<formControlPr xmlns="http://schemas.microsoft.com/office/spreadsheetml/2009/9/main" objectType="CheckBox" checked="Checked" lockText="1"/>
</file>

<file path=xl/ctrlProps/ctrlProp53.xml><?xml version="1.0" encoding="utf-8"?>
<formControlPr xmlns="http://schemas.microsoft.com/office/spreadsheetml/2009/9/main" objectType="CheckBox" lockText="1"/>
</file>

<file path=xl/ctrlProps/ctrlProp54.xml><?xml version="1.0" encoding="utf-8"?>
<formControlPr xmlns="http://schemas.microsoft.com/office/spreadsheetml/2009/9/main" objectType="CheckBox" lockText="1"/>
</file>

<file path=xl/ctrlProps/ctrlProp55.xml><?xml version="1.0" encoding="utf-8"?>
<formControlPr xmlns="http://schemas.microsoft.com/office/spreadsheetml/2009/9/main" objectType="CheckBox" lockText="1"/>
</file>

<file path=xl/ctrlProps/ctrlProp56.xml><?xml version="1.0" encoding="utf-8"?>
<formControlPr xmlns="http://schemas.microsoft.com/office/spreadsheetml/2009/9/main" objectType="CheckBox" checked="Checked" lockText="1"/>
</file>

<file path=xl/ctrlProps/ctrlProp57.xml><?xml version="1.0" encoding="utf-8"?>
<formControlPr xmlns="http://schemas.microsoft.com/office/spreadsheetml/2009/9/main" objectType="CheckBox" lockText="1"/>
</file>

<file path=xl/drawings/drawing1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38100</xdr:colOff>
          <xdr:row>16</xdr:row>
          <xdr:rowOff>38100</xdr:rowOff>
        </xdr:from>
        <xdr:to>
          <xdr:col>8</xdr:col>
          <xdr:colOff>342900</xdr:colOff>
          <xdr:row>16</xdr:row>
          <xdr:rowOff>257175</xdr:rowOff>
        </xdr:to>
        <xdr:sp macro="" textlink="">
          <xdr:nvSpPr>
            <xdr:cNvPr id="8193" name="Check Box 1" hidden="1">
              <a:extLst>
                <a:ext uri="{63B3BB69-23CF-44E3-9099-C40C66FF867C}">
                  <a14:compatExt spid="_x0000_s8193"/>
                </a:ext>
              </a:extLst>
            </xdr:cNvPr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</xdr:spPr>
          <xdr:txBody>
            <a:bodyPr vertOverflow="clip" wrap="square" lIns="27432" tIns="18288" rIns="0" bIns="18288" anchor="ctr" upright="1"/>
            <a:lstStyle/>
            <a:p>
              <a:pPr algn="l" rtl="0">
                <a:defRPr sz="1000"/>
              </a:pPr>
              <a:r>
                <a:rPr lang="en-CA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Yes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657225</xdr:colOff>
          <xdr:row>16</xdr:row>
          <xdr:rowOff>38100</xdr:rowOff>
        </xdr:from>
        <xdr:to>
          <xdr:col>8</xdr:col>
          <xdr:colOff>962025</xdr:colOff>
          <xdr:row>16</xdr:row>
          <xdr:rowOff>257175</xdr:rowOff>
        </xdr:to>
        <xdr:sp macro="" textlink="">
          <xdr:nvSpPr>
            <xdr:cNvPr id="8194" name="Check Box 2" hidden="1">
              <a:extLst>
                <a:ext uri="{63B3BB69-23CF-44E3-9099-C40C66FF867C}">
                  <a14:compatExt spid="_x0000_s8194"/>
                </a:ext>
              </a:extLst>
            </xdr:cNvPr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</xdr:spPr>
          <xdr:txBody>
            <a:bodyPr vertOverflow="clip" wrap="square" lIns="27432" tIns="18288" rIns="0" bIns="18288" anchor="ctr" upright="1"/>
            <a:lstStyle/>
            <a:p>
              <a:pPr algn="l" rtl="0">
                <a:defRPr sz="1000"/>
              </a:pPr>
              <a:r>
                <a:rPr lang="en-CA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No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38100</xdr:colOff>
          <xdr:row>17</xdr:row>
          <xdr:rowOff>38100</xdr:rowOff>
        </xdr:from>
        <xdr:to>
          <xdr:col>8</xdr:col>
          <xdr:colOff>342900</xdr:colOff>
          <xdr:row>17</xdr:row>
          <xdr:rowOff>257175</xdr:rowOff>
        </xdr:to>
        <xdr:sp macro="" textlink="">
          <xdr:nvSpPr>
            <xdr:cNvPr id="8195" name="Check Box 3" hidden="1">
              <a:extLst>
                <a:ext uri="{63B3BB69-23CF-44E3-9099-C40C66FF867C}">
                  <a14:compatExt spid="_x0000_s8195"/>
                </a:ext>
              </a:extLst>
            </xdr:cNvPr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</xdr:spPr>
          <xdr:txBody>
            <a:bodyPr vertOverflow="clip" wrap="square" lIns="27432" tIns="18288" rIns="0" bIns="18288" anchor="ctr" upright="1"/>
            <a:lstStyle/>
            <a:p>
              <a:pPr algn="l" rtl="0">
                <a:defRPr sz="1000"/>
              </a:pPr>
              <a:r>
                <a:rPr lang="en-CA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Yes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657225</xdr:colOff>
          <xdr:row>17</xdr:row>
          <xdr:rowOff>38100</xdr:rowOff>
        </xdr:from>
        <xdr:to>
          <xdr:col>8</xdr:col>
          <xdr:colOff>962025</xdr:colOff>
          <xdr:row>17</xdr:row>
          <xdr:rowOff>257175</xdr:rowOff>
        </xdr:to>
        <xdr:sp macro="" textlink="">
          <xdr:nvSpPr>
            <xdr:cNvPr id="8196" name="Check Box 4" hidden="1">
              <a:extLst>
                <a:ext uri="{63B3BB69-23CF-44E3-9099-C40C66FF867C}">
                  <a14:compatExt spid="_x0000_s8196"/>
                </a:ext>
              </a:extLst>
            </xdr:cNvPr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</xdr:spPr>
          <xdr:txBody>
            <a:bodyPr vertOverflow="clip" wrap="square" lIns="27432" tIns="18288" rIns="0" bIns="18288" anchor="ctr" upright="1"/>
            <a:lstStyle/>
            <a:p>
              <a:pPr algn="l" rtl="0">
                <a:defRPr sz="1000"/>
              </a:pPr>
              <a:r>
                <a:rPr lang="en-CA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No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38100</xdr:colOff>
          <xdr:row>18</xdr:row>
          <xdr:rowOff>38100</xdr:rowOff>
        </xdr:from>
        <xdr:to>
          <xdr:col>8</xdr:col>
          <xdr:colOff>342900</xdr:colOff>
          <xdr:row>18</xdr:row>
          <xdr:rowOff>257175</xdr:rowOff>
        </xdr:to>
        <xdr:sp macro="" textlink="">
          <xdr:nvSpPr>
            <xdr:cNvPr id="8197" name="Check Box 5" hidden="1">
              <a:extLst>
                <a:ext uri="{63B3BB69-23CF-44E3-9099-C40C66FF867C}">
                  <a14:compatExt spid="_x0000_s8197"/>
                </a:ext>
              </a:extLst>
            </xdr:cNvPr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</xdr:spPr>
          <xdr:txBody>
            <a:bodyPr vertOverflow="clip" wrap="square" lIns="27432" tIns="18288" rIns="0" bIns="18288" anchor="ctr" upright="1"/>
            <a:lstStyle/>
            <a:p>
              <a:pPr algn="l" rtl="0">
                <a:defRPr sz="1000"/>
              </a:pPr>
              <a:r>
                <a:rPr lang="en-CA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Yes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657225</xdr:colOff>
          <xdr:row>18</xdr:row>
          <xdr:rowOff>38100</xdr:rowOff>
        </xdr:from>
        <xdr:to>
          <xdr:col>8</xdr:col>
          <xdr:colOff>962025</xdr:colOff>
          <xdr:row>18</xdr:row>
          <xdr:rowOff>257175</xdr:rowOff>
        </xdr:to>
        <xdr:sp macro="" textlink="">
          <xdr:nvSpPr>
            <xdr:cNvPr id="8198" name="Check Box 6" hidden="1">
              <a:extLst>
                <a:ext uri="{63B3BB69-23CF-44E3-9099-C40C66FF867C}">
                  <a14:compatExt spid="_x0000_s8198"/>
                </a:ext>
              </a:extLst>
            </xdr:cNvPr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</xdr:spPr>
          <xdr:txBody>
            <a:bodyPr vertOverflow="clip" wrap="square" lIns="27432" tIns="18288" rIns="0" bIns="18288" anchor="ctr" upright="1"/>
            <a:lstStyle/>
            <a:p>
              <a:pPr algn="l" rtl="0">
                <a:defRPr sz="1000"/>
              </a:pPr>
              <a:r>
                <a:rPr lang="en-CA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No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38100</xdr:colOff>
          <xdr:row>22</xdr:row>
          <xdr:rowOff>38100</xdr:rowOff>
        </xdr:from>
        <xdr:to>
          <xdr:col>8</xdr:col>
          <xdr:colOff>342900</xdr:colOff>
          <xdr:row>22</xdr:row>
          <xdr:rowOff>257175</xdr:rowOff>
        </xdr:to>
        <xdr:sp macro="" textlink="">
          <xdr:nvSpPr>
            <xdr:cNvPr id="8199" name="Check Box 7" hidden="1">
              <a:extLst>
                <a:ext uri="{63B3BB69-23CF-44E3-9099-C40C66FF867C}">
                  <a14:compatExt spid="_x0000_s8199"/>
                </a:ext>
              </a:extLst>
            </xdr:cNvPr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</xdr:spPr>
          <xdr:txBody>
            <a:bodyPr vertOverflow="clip" wrap="square" lIns="27432" tIns="18288" rIns="0" bIns="18288" anchor="ctr" upright="1"/>
            <a:lstStyle/>
            <a:p>
              <a:pPr algn="l" rtl="0">
                <a:defRPr sz="1000"/>
              </a:pPr>
              <a:r>
                <a:rPr lang="en-CA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Yes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657225</xdr:colOff>
          <xdr:row>22</xdr:row>
          <xdr:rowOff>38100</xdr:rowOff>
        </xdr:from>
        <xdr:to>
          <xdr:col>8</xdr:col>
          <xdr:colOff>962025</xdr:colOff>
          <xdr:row>22</xdr:row>
          <xdr:rowOff>257175</xdr:rowOff>
        </xdr:to>
        <xdr:sp macro="" textlink="">
          <xdr:nvSpPr>
            <xdr:cNvPr id="8200" name="Check Box 8" hidden="1">
              <a:extLst>
                <a:ext uri="{63B3BB69-23CF-44E3-9099-C40C66FF867C}">
                  <a14:compatExt spid="_x0000_s8200"/>
                </a:ext>
              </a:extLst>
            </xdr:cNvPr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</xdr:spPr>
          <xdr:txBody>
            <a:bodyPr vertOverflow="clip" wrap="square" lIns="27432" tIns="18288" rIns="0" bIns="18288" anchor="ctr" upright="1"/>
            <a:lstStyle/>
            <a:p>
              <a:pPr algn="l" rtl="0">
                <a:defRPr sz="1000"/>
              </a:pPr>
              <a:r>
                <a:rPr lang="en-CA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No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38100</xdr:colOff>
          <xdr:row>23</xdr:row>
          <xdr:rowOff>38100</xdr:rowOff>
        </xdr:from>
        <xdr:to>
          <xdr:col>8</xdr:col>
          <xdr:colOff>342900</xdr:colOff>
          <xdr:row>23</xdr:row>
          <xdr:rowOff>257175</xdr:rowOff>
        </xdr:to>
        <xdr:sp macro="" textlink="">
          <xdr:nvSpPr>
            <xdr:cNvPr id="8201" name="Check Box 9" hidden="1">
              <a:extLst>
                <a:ext uri="{63B3BB69-23CF-44E3-9099-C40C66FF867C}">
                  <a14:compatExt spid="_x0000_s8201"/>
                </a:ext>
              </a:extLst>
            </xdr:cNvPr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</xdr:spPr>
          <xdr:txBody>
            <a:bodyPr vertOverflow="clip" wrap="square" lIns="27432" tIns="18288" rIns="0" bIns="18288" anchor="ctr" upright="1"/>
            <a:lstStyle/>
            <a:p>
              <a:pPr algn="l" rtl="0">
                <a:defRPr sz="1000"/>
              </a:pPr>
              <a:r>
                <a:rPr lang="en-CA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Yes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657225</xdr:colOff>
          <xdr:row>23</xdr:row>
          <xdr:rowOff>38100</xdr:rowOff>
        </xdr:from>
        <xdr:to>
          <xdr:col>8</xdr:col>
          <xdr:colOff>962025</xdr:colOff>
          <xdr:row>23</xdr:row>
          <xdr:rowOff>257175</xdr:rowOff>
        </xdr:to>
        <xdr:sp macro="" textlink="">
          <xdr:nvSpPr>
            <xdr:cNvPr id="8202" name="Check Box 10" hidden="1">
              <a:extLst>
                <a:ext uri="{63B3BB69-23CF-44E3-9099-C40C66FF867C}">
                  <a14:compatExt spid="_x0000_s8202"/>
                </a:ext>
              </a:extLst>
            </xdr:cNvPr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</xdr:spPr>
          <xdr:txBody>
            <a:bodyPr vertOverflow="clip" wrap="square" lIns="27432" tIns="18288" rIns="0" bIns="18288" anchor="ctr" upright="1"/>
            <a:lstStyle/>
            <a:p>
              <a:pPr algn="l" rtl="0">
                <a:defRPr sz="1000"/>
              </a:pPr>
              <a:r>
                <a:rPr lang="en-CA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No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38100</xdr:colOff>
          <xdr:row>24</xdr:row>
          <xdr:rowOff>38100</xdr:rowOff>
        </xdr:from>
        <xdr:to>
          <xdr:col>8</xdr:col>
          <xdr:colOff>342900</xdr:colOff>
          <xdr:row>24</xdr:row>
          <xdr:rowOff>257175</xdr:rowOff>
        </xdr:to>
        <xdr:sp macro="" textlink="">
          <xdr:nvSpPr>
            <xdr:cNvPr id="8203" name="Check Box 11" hidden="1">
              <a:extLst>
                <a:ext uri="{63B3BB69-23CF-44E3-9099-C40C66FF867C}">
                  <a14:compatExt spid="_x0000_s8203"/>
                </a:ext>
              </a:extLst>
            </xdr:cNvPr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</xdr:spPr>
          <xdr:txBody>
            <a:bodyPr vertOverflow="clip" wrap="square" lIns="27432" tIns="18288" rIns="0" bIns="18288" anchor="ctr" upright="1"/>
            <a:lstStyle/>
            <a:p>
              <a:pPr algn="l" rtl="0">
                <a:defRPr sz="1000"/>
              </a:pPr>
              <a:r>
                <a:rPr lang="en-CA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Yes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657225</xdr:colOff>
          <xdr:row>24</xdr:row>
          <xdr:rowOff>38100</xdr:rowOff>
        </xdr:from>
        <xdr:to>
          <xdr:col>8</xdr:col>
          <xdr:colOff>962025</xdr:colOff>
          <xdr:row>24</xdr:row>
          <xdr:rowOff>257175</xdr:rowOff>
        </xdr:to>
        <xdr:sp macro="" textlink="">
          <xdr:nvSpPr>
            <xdr:cNvPr id="8204" name="Check Box 12" hidden="1">
              <a:extLst>
                <a:ext uri="{63B3BB69-23CF-44E3-9099-C40C66FF867C}">
                  <a14:compatExt spid="_x0000_s8204"/>
                </a:ext>
              </a:extLst>
            </xdr:cNvPr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</xdr:spPr>
          <xdr:txBody>
            <a:bodyPr vertOverflow="clip" wrap="square" lIns="27432" tIns="18288" rIns="0" bIns="18288" anchor="ctr" upright="1"/>
            <a:lstStyle/>
            <a:p>
              <a:pPr algn="l" rtl="0">
                <a:defRPr sz="1000"/>
              </a:pPr>
              <a:r>
                <a:rPr lang="en-CA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No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38100</xdr:colOff>
          <xdr:row>25</xdr:row>
          <xdr:rowOff>38100</xdr:rowOff>
        </xdr:from>
        <xdr:to>
          <xdr:col>8</xdr:col>
          <xdr:colOff>342900</xdr:colOff>
          <xdr:row>25</xdr:row>
          <xdr:rowOff>257175</xdr:rowOff>
        </xdr:to>
        <xdr:sp macro="" textlink="">
          <xdr:nvSpPr>
            <xdr:cNvPr id="8205" name="Check Box 13" hidden="1">
              <a:extLst>
                <a:ext uri="{63B3BB69-23CF-44E3-9099-C40C66FF867C}">
                  <a14:compatExt spid="_x0000_s8205"/>
                </a:ext>
              </a:extLst>
            </xdr:cNvPr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</xdr:spPr>
          <xdr:txBody>
            <a:bodyPr vertOverflow="clip" wrap="square" lIns="27432" tIns="18288" rIns="0" bIns="18288" anchor="ctr" upright="1"/>
            <a:lstStyle/>
            <a:p>
              <a:pPr algn="l" rtl="0">
                <a:defRPr sz="1000"/>
              </a:pPr>
              <a:r>
                <a:rPr lang="en-CA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Yes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657225</xdr:colOff>
          <xdr:row>25</xdr:row>
          <xdr:rowOff>38100</xdr:rowOff>
        </xdr:from>
        <xdr:to>
          <xdr:col>8</xdr:col>
          <xdr:colOff>962025</xdr:colOff>
          <xdr:row>25</xdr:row>
          <xdr:rowOff>257175</xdr:rowOff>
        </xdr:to>
        <xdr:sp macro="" textlink="">
          <xdr:nvSpPr>
            <xdr:cNvPr id="8206" name="Check Box 14" hidden="1">
              <a:extLst>
                <a:ext uri="{63B3BB69-23CF-44E3-9099-C40C66FF867C}">
                  <a14:compatExt spid="_x0000_s8206"/>
                </a:ext>
              </a:extLst>
            </xdr:cNvPr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</xdr:spPr>
          <xdr:txBody>
            <a:bodyPr vertOverflow="clip" wrap="square" lIns="27432" tIns="18288" rIns="0" bIns="18288" anchor="ctr" upright="1"/>
            <a:lstStyle/>
            <a:p>
              <a:pPr algn="l" rtl="0">
                <a:defRPr sz="1000"/>
              </a:pPr>
              <a:r>
                <a:rPr lang="en-CA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No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7</xdr:col>
          <xdr:colOff>38100</xdr:colOff>
          <xdr:row>29</xdr:row>
          <xdr:rowOff>38100</xdr:rowOff>
        </xdr:from>
        <xdr:to>
          <xdr:col>8</xdr:col>
          <xdr:colOff>180975</xdr:colOff>
          <xdr:row>29</xdr:row>
          <xdr:rowOff>209550</xdr:rowOff>
        </xdr:to>
        <xdr:sp macro="" textlink="">
          <xdr:nvSpPr>
            <xdr:cNvPr id="8207" name="Check Box 15" hidden="1">
              <a:extLst>
                <a:ext uri="{63B3BB69-23CF-44E3-9099-C40C66FF867C}">
                  <a14:compatExt spid="_x0000_s8207"/>
                </a:ext>
              </a:extLst>
            </xdr:cNvPr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</xdr:spPr>
          <xdr:txBody>
            <a:bodyPr vertOverflow="clip" wrap="square" lIns="27432" tIns="18288" rIns="0" bIns="18288" anchor="ctr" upright="1"/>
            <a:lstStyle/>
            <a:p>
              <a:pPr algn="l" rtl="0">
                <a:defRPr sz="1000"/>
              </a:pPr>
              <a:r>
                <a:rPr lang="en-CA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HDR Bunker Closet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7</xdr:col>
          <xdr:colOff>38100</xdr:colOff>
          <xdr:row>30</xdr:row>
          <xdr:rowOff>38100</xdr:rowOff>
        </xdr:from>
        <xdr:to>
          <xdr:col>8</xdr:col>
          <xdr:colOff>180975</xdr:colOff>
          <xdr:row>30</xdr:row>
          <xdr:rowOff>209550</xdr:rowOff>
        </xdr:to>
        <xdr:sp macro="" textlink="">
          <xdr:nvSpPr>
            <xdr:cNvPr id="8208" name="Check Box 16" hidden="1">
              <a:extLst>
                <a:ext uri="{63B3BB69-23CF-44E3-9099-C40C66FF867C}">
                  <a14:compatExt spid="_x0000_s8208"/>
                </a:ext>
              </a:extLst>
            </xdr:cNvPr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</xdr:spPr>
          <xdr:txBody>
            <a:bodyPr vertOverflow="clip" wrap="square" lIns="27432" tIns="18288" rIns="0" bIns="18288" anchor="ctr" upright="1"/>
            <a:lstStyle/>
            <a:p>
              <a:pPr algn="l" rtl="0">
                <a:defRPr sz="1000"/>
              </a:pPr>
              <a:r>
                <a:rPr lang="en-CA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Radioisotope Lab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7</xdr:col>
          <xdr:colOff>38100</xdr:colOff>
          <xdr:row>31</xdr:row>
          <xdr:rowOff>38100</xdr:rowOff>
        </xdr:from>
        <xdr:to>
          <xdr:col>8</xdr:col>
          <xdr:colOff>180975</xdr:colOff>
          <xdr:row>31</xdr:row>
          <xdr:rowOff>209550</xdr:rowOff>
        </xdr:to>
        <xdr:sp macro="" textlink="">
          <xdr:nvSpPr>
            <xdr:cNvPr id="8209" name="Check Box 17" hidden="1">
              <a:extLst>
                <a:ext uri="{63B3BB69-23CF-44E3-9099-C40C66FF867C}">
                  <a14:compatExt spid="_x0000_s8209"/>
                </a:ext>
              </a:extLst>
            </xdr:cNvPr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</xdr:spPr>
          <xdr:txBody>
            <a:bodyPr vertOverflow="clip" wrap="square" lIns="27432" tIns="18288" rIns="0" bIns="18288" anchor="ctr" upright="1"/>
            <a:lstStyle/>
            <a:p>
              <a:pPr algn="l" rtl="0">
                <a:defRPr sz="1000"/>
              </a:pPr>
              <a:r>
                <a:rPr lang="en-CA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Co-60 Bunker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7</xdr:col>
          <xdr:colOff>38100</xdr:colOff>
          <xdr:row>32</xdr:row>
          <xdr:rowOff>38100</xdr:rowOff>
        </xdr:from>
        <xdr:to>
          <xdr:col>7</xdr:col>
          <xdr:colOff>342900</xdr:colOff>
          <xdr:row>32</xdr:row>
          <xdr:rowOff>257175</xdr:rowOff>
        </xdr:to>
        <xdr:sp macro="" textlink="">
          <xdr:nvSpPr>
            <xdr:cNvPr id="8210" name="Check Box 18" hidden="1">
              <a:extLst>
                <a:ext uri="{63B3BB69-23CF-44E3-9099-C40C66FF867C}">
                  <a14:compatExt spid="_x0000_s8210"/>
                </a:ext>
              </a:extLst>
            </xdr:cNvPr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</xdr:spPr>
          <xdr:txBody>
            <a:bodyPr vertOverflow="clip" wrap="square" lIns="27432" tIns="18288" rIns="0" bIns="18288" anchor="ctr" upright="1"/>
            <a:lstStyle/>
            <a:p>
              <a:pPr algn="l" rtl="0">
                <a:defRPr sz="1000"/>
              </a:pPr>
              <a:r>
                <a:rPr lang="en-CA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Yes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7</xdr:col>
          <xdr:colOff>657225</xdr:colOff>
          <xdr:row>32</xdr:row>
          <xdr:rowOff>38100</xdr:rowOff>
        </xdr:from>
        <xdr:to>
          <xdr:col>7</xdr:col>
          <xdr:colOff>962025</xdr:colOff>
          <xdr:row>32</xdr:row>
          <xdr:rowOff>257175</xdr:rowOff>
        </xdr:to>
        <xdr:sp macro="" textlink="">
          <xdr:nvSpPr>
            <xdr:cNvPr id="8211" name="Check Box 19" hidden="1">
              <a:extLst>
                <a:ext uri="{63B3BB69-23CF-44E3-9099-C40C66FF867C}">
                  <a14:compatExt spid="_x0000_s8211"/>
                </a:ext>
              </a:extLst>
            </xdr:cNvPr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</xdr:spPr>
          <xdr:txBody>
            <a:bodyPr vertOverflow="clip" wrap="square" lIns="27432" tIns="18288" rIns="0" bIns="18288" anchor="ctr" upright="1"/>
            <a:lstStyle/>
            <a:p>
              <a:pPr algn="l" rtl="0">
                <a:defRPr sz="1000"/>
              </a:pPr>
              <a:r>
                <a:rPr lang="en-CA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No</a:t>
              </a:r>
            </a:p>
          </xdr:txBody>
        </xdr:sp>
        <xdr:clientData/>
      </xdr:twoCellAnchor>
    </mc:Choice>
    <mc:Fallback/>
  </mc:AlternateContent>
</xdr:wsDr>
</file>

<file path=xl/drawings/drawing2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38100</xdr:colOff>
          <xdr:row>18</xdr:row>
          <xdr:rowOff>38100</xdr:rowOff>
        </xdr:from>
        <xdr:to>
          <xdr:col>8</xdr:col>
          <xdr:colOff>342900</xdr:colOff>
          <xdr:row>18</xdr:row>
          <xdr:rowOff>257175</xdr:rowOff>
        </xdr:to>
        <xdr:sp macro="" textlink="">
          <xdr:nvSpPr>
            <xdr:cNvPr id="9217" name="Check Box 1" hidden="1">
              <a:extLst>
                <a:ext uri="{63B3BB69-23CF-44E3-9099-C40C66FF867C}">
                  <a14:compatExt spid="_x0000_s9217"/>
                </a:ext>
              </a:extLst>
            </xdr:cNvPr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</xdr:spPr>
          <xdr:txBody>
            <a:bodyPr vertOverflow="clip" wrap="square" lIns="27432" tIns="18288" rIns="0" bIns="18288" anchor="ctr" upright="1"/>
            <a:lstStyle/>
            <a:p>
              <a:pPr algn="l" rtl="0">
                <a:defRPr sz="1000"/>
              </a:pPr>
              <a:r>
                <a:rPr lang="en-CA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Yes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657225</xdr:colOff>
          <xdr:row>18</xdr:row>
          <xdr:rowOff>38100</xdr:rowOff>
        </xdr:from>
        <xdr:to>
          <xdr:col>8</xdr:col>
          <xdr:colOff>962025</xdr:colOff>
          <xdr:row>18</xdr:row>
          <xdr:rowOff>257175</xdr:rowOff>
        </xdr:to>
        <xdr:sp macro="" textlink="">
          <xdr:nvSpPr>
            <xdr:cNvPr id="9218" name="Check Box 2" hidden="1">
              <a:extLst>
                <a:ext uri="{63B3BB69-23CF-44E3-9099-C40C66FF867C}">
                  <a14:compatExt spid="_x0000_s9218"/>
                </a:ext>
              </a:extLst>
            </xdr:cNvPr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</xdr:spPr>
          <xdr:txBody>
            <a:bodyPr vertOverflow="clip" wrap="square" lIns="27432" tIns="18288" rIns="0" bIns="18288" anchor="ctr" upright="1"/>
            <a:lstStyle/>
            <a:p>
              <a:pPr algn="l" rtl="0">
                <a:defRPr sz="1000"/>
              </a:pPr>
              <a:r>
                <a:rPr lang="en-CA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No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38100</xdr:colOff>
          <xdr:row>19</xdr:row>
          <xdr:rowOff>38100</xdr:rowOff>
        </xdr:from>
        <xdr:to>
          <xdr:col>8</xdr:col>
          <xdr:colOff>342900</xdr:colOff>
          <xdr:row>19</xdr:row>
          <xdr:rowOff>257175</xdr:rowOff>
        </xdr:to>
        <xdr:sp macro="" textlink="">
          <xdr:nvSpPr>
            <xdr:cNvPr id="9219" name="Check Box 3" hidden="1">
              <a:extLst>
                <a:ext uri="{63B3BB69-23CF-44E3-9099-C40C66FF867C}">
                  <a14:compatExt spid="_x0000_s9219"/>
                </a:ext>
              </a:extLst>
            </xdr:cNvPr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</xdr:spPr>
          <xdr:txBody>
            <a:bodyPr vertOverflow="clip" wrap="square" lIns="27432" tIns="18288" rIns="0" bIns="18288" anchor="ctr" upright="1"/>
            <a:lstStyle/>
            <a:p>
              <a:pPr algn="l" rtl="0">
                <a:defRPr sz="1000"/>
              </a:pPr>
              <a:r>
                <a:rPr lang="en-CA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Yes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657225</xdr:colOff>
          <xdr:row>19</xdr:row>
          <xdr:rowOff>38100</xdr:rowOff>
        </xdr:from>
        <xdr:to>
          <xdr:col>8</xdr:col>
          <xdr:colOff>962025</xdr:colOff>
          <xdr:row>19</xdr:row>
          <xdr:rowOff>257175</xdr:rowOff>
        </xdr:to>
        <xdr:sp macro="" textlink="">
          <xdr:nvSpPr>
            <xdr:cNvPr id="9220" name="Check Box 4" hidden="1">
              <a:extLst>
                <a:ext uri="{63B3BB69-23CF-44E3-9099-C40C66FF867C}">
                  <a14:compatExt spid="_x0000_s9220"/>
                </a:ext>
              </a:extLst>
            </xdr:cNvPr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</xdr:spPr>
          <xdr:txBody>
            <a:bodyPr vertOverflow="clip" wrap="square" lIns="27432" tIns="18288" rIns="0" bIns="18288" anchor="ctr" upright="1"/>
            <a:lstStyle/>
            <a:p>
              <a:pPr algn="l" rtl="0">
                <a:defRPr sz="1000"/>
              </a:pPr>
              <a:r>
                <a:rPr lang="en-CA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No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38100</xdr:colOff>
          <xdr:row>22</xdr:row>
          <xdr:rowOff>38100</xdr:rowOff>
        </xdr:from>
        <xdr:to>
          <xdr:col>8</xdr:col>
          <xdr:colOff>342900</xdr:colOff>
          <xdr:row>22</xdr:row>
          <xdr:rowOff>257175</xdr:rowOff>
        </xdr:to>
        <xdr:sp macro="" textlink="">
          <xdr:nvSpPr>
            <xdr:cNvPr id="9221" name="Check Box 5" hidden="1">
              <a:extLst>
                <a:ext uri="{63B3BB69-23CF-44E3-9099-C40C66FF867C}">
                  <a14:compatExt spid="_x0000_s9221"/>
                </a:ext>
              </a:extLst>
            </xdr:cNvPr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</xdr:spPr>
          <xdr:txBody>
            <a:bodyPr vertOverflow="clip" wrap="square" lIns="27432" tIns="18288" rIns="0" bIns="18288" anchor="ctr" upright="1"/>
            <a:lstStyle/>
            <a:p>
              <a:pPr algn="l" rtl="0">
                <a:defRPr sz="1000"/>
              </a:pPr>
              <a:r>
                <a:rPr lang="en-CA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Yes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657225</xdr:colOff>
          <xdr:row>22</xdr:row>
          <xdr:rowOff>38100</xdr:rowOff>
        </xdr:from>
        <xdr:to>
          <xdr:col>8</xdr:col>
          <xdr:colOff>962025</xdr:colOff>
          <xdr:row>22</xdr:row>
          <xdr:rowOff>257175</xdr:rowOff>
        </xdr:to>
        <xdr:sp macro="" textlink="">
          <xdr:nvSpPr>
            <xdr:cNvPr id="9222" name="Check Box 6" hidden="1">
              <a:extLst>
                <a:ext uri="{63B3BB69-23CF-44E3-9099-C40C66FF867C}">
                  <a14:compatExt spid="_x0000_s9222"/>
                </a:ext>
              </a:extLst>
            </xdr:cNvPr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</xdr:spPr>
          <xdr:txBody>
            <a:bodyPr vertOverflow="clip" wrap="square" lIns="27432" tIns="18288" rIns="0" bIns="18288" anchor="ctr" upright="1"/>
            <a:lstStyle/>
            <a:p>
              <a:pPr algn="l" rtl="0">
                <a:defRPr sz="1000"/>
              </a:pPr>
              <a:r>
                <a:rPr lang="en-CA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No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38100</xdr:colOff>
          <xdr:row>25</xdr:row>
          <xdr:rowOff>38100</xdr:rowOff>
        </xdr:from>
        <xdr:to>
          <xdr:col>8</xdr:col>
          <xdr:colOff>342900</xdr:colOff>
          <xdr:row>25</xdr:row>
          <xdr:rowOff>257175</xdr:rowOff>
        </xdr:to>
        <xdr:sp macro="" textlink="">
          <xdr:nvSpPr>
            <xdr:cNvPr id="9223" name="Check Box 7" hidden="1">
              <a:extLst>
                <a:ext uri="{63B3BB69-23CF-44E3-9099-C40C66FF867C}">
                  <a14:compatExt spid="_x0000_s9223"/>
                </a:ext>
              </a:extLst>
            </xdr:cNvPr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</xdr:spPr>
          <xdr:txBody>
            <a:bodyPr vertOverflow="clip" wrap="square" lIns="27432" tIns="18288" rIns="0" bIns="18288" anchor="ctr" upright="1"/>
            <a:lstStyle/>
            <a:p>
              <a:pPr algn="l" rtl="0">
                <a:defRPr sz="1000"/>
              </a:pPr>
              <a:r>
                <a:rPr lang="en-CA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Yes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657225</xdr:colOff>
          <xdr:row>25</xdr:row>
          <xdr:rowOff>38100</xdr:rowOff>
        </xdr:from>
        <xdr:to>
          <xdr:col>8</xdr:col>
          <xdr:colOff>962025</xdr:colOff>
          <xdr:row>25</xdr:row>
          <xdr:rowOff>257175</xdr:rowOff>
        </xdr:to>
        <xdr:sp macro="" textlink="">
          <xdr:nvSpPr>
            <xdr:cNvPr id="9224" name="Check Box 8" hidden="1">
              <a:extLst>
                <a:ext uri="{63B3BB69-23CF-44E3-9099-C40C66FF867C}">
                  <a14:compatExt spid="_x0000_s9224"/>
                </a:ext>
              </a:extLst>
            </xdr:cNvPr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</xdr:spPr>
          <xdr:txBody>
            <a:bodyPr vertOverflow="clip" wrap="square" lIns="27432" tIns="18288" rIns="0" bIns="18288" anchor="ctr" upright="1"/>
            <a:lstStyle/>
            <a:p>
              <a:pPr algn="l" rtl="0">
                <a:defRPr sz="1000"/>
              </a:pPr>
              <a:r>
                <a:rPr lang="en-CA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No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38100</xdr:colOff>
          <xdr:row>30</xdr:row>
          <xdr:rowOff>38100</xdr:rowOff>
        </xdr:from>
        <xdr:to>
          <xdr:col>8</xdr:col>
          <xdr:colOff>342900</xdr:colOff>
          <xdr:row>30</xdr:row>
          <xdr:rowOff>257175</xdr:rowOff>
        </xdr:to>
        <xdr:sp macro="" textlink="">
          <xdr:nvSpPr>
            <xdr:cNvPr id="9225" name="Check Box 9" hidden="1">
              <a:extLst>
                <a:ext uri="{63B3BB69-23CF-44E3-9099-C40C66FF867C}">
                  <a14:compatExt spid="_x0000_s9225"/>
                </a:ext>
              </a:extLst>
            </xdr:cNvPr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</xdr:spPr>
          <xdr:txBody>
            <a:bodyPr vertOverflow="clip" wrap="square" lIns="27432" tIns="18288" rIns="0" bIns="18288" anchor="ctr" upright="1"/>
            <a:lstStyle/>
            <a:p>
              <a:pPr algn="l" rtl="0">
                <a:defRPr sz="1000"/>
              </a:pPr>
              <a:r>
                <a:rPr lang="en-CA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Yes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657225</xdr:colOff>
          <xdr:row>30</xdr:row>
          <xdr:rowOff>38100</xdr:rowOff>
        </xdr:from>
        <xdr:to>
          <xdr:col>8</xdr:col>
          <xdr:colOff>962025</xdr:colOff>
          <xdr:row>30</xdr:row>
          <xdr:rowOff>257175</xdr:rowOff>
        </xdr:to>
        <xdr:sp macro="" textlink="">
          <xdr:nvSpPr>
            <xdr:cNvPr id="9226" name="Check Box 10" hidden="1">
              <a:extLst>
                <a:ext uri="{63B3BB69-23CF-44E3-9099-C40C66FF867C}">
                  <a14:compatExt spid="_x0000_s9226"/>
                </a:ext>
              </a:extLst>
            </xdr:cNvPr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</xdr:spPr>
          <xdr:txBody>
            <a:bodyPr vertOverflow="clip" wrap="square" lIns="27432" tIns="18288" rIns="0" bIns="18288" anchor="ctr" upright="1"/>
            <a:lstStyle/>
            <a:p>
              <a:pPr algn="l" rtl="0">
                <a:defRPr sz="1000"/>
              </a:pPr>
              <a:r>
                <a:rPr lang="en-CA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No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38100</xdr:colOff>
          <xdr:row>24</xdr:row>
          <xdr:rowOff>38100</xdr:rowOff>
        </xdr:from>
        <xdr:to>
          <xdr:col>8</xdr:col>
          <xdr:colOff>342900</xdr:colOff>
          <xdr:row>24</xdr:row>
          <xdr:rowOff>257175</xdr:rowOff>
        </xdr:to>
        <xdr:sp macro="" textlink="">
          <xdr:nvSpPr>
            <xdr:cNvPr id="9227" name="Check Box 11" hidden="1">
              <a:extLst>
                <a:ext uri="{63B3BB69-23CF-44E3-9099-C40C66FF867C}">
                  <a14:compatExt spid="_x0000_s9227"/>
                </a:ext>
              </a:extLst>
            </xdr:cNvPr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</xdr:spPr>
          <xdr:txBody>
            <a:bodyPr vertOverflow="clip" wrap="square" lIns="27432" tIns="18288" rIns="0" bIns="18288" anchor="ctr" upright="1"/>
            <a:lstStyle/>
            <a:p>
              <a:pPr algn="l" rtl="0">
                <a:defRPr sz="1000"/>
              </a:pPr>
              <a:r>
                <a:rPr lang="en-CA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Yes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657225</xdr:colOff>
          <xdr:row>24</xdr:row>
          <xdr:rowOff>38100</xdr:rowOff>
        </xdr:from>
        <xdr:to>
          <xdr:col>8</xdr:col>
          <xdr:colOff>962025</xdr:colOff>
          <xdr:row>24</xdr:row>
          <xdr:rowOff>257175</xdr:rowOff>
        </xdr:to>
        <xdr:sp macro="" textlink="">
          <xdr:nvSpPr>
            <xdr:cNvPr id="9228" name="Check Box 12" hidden="1">
              <a:extLst>
                <a:ext uri="{63B3BB69-23CF-44E3-9099-C40C66FF867C}">
                  <a14:compatExt spid="_x0000_s9228"/>
                </a:ext>
              </a:extLst>
            </xdr:cNvPr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</xdr:spPr>
          <xdr:txBody>
            <a:bodyPr vertOverflow="clip" wrap="square" lIns="27432" tIns="18288" rIns="0" bIns="18288" anchor="ctr" upright="1"/>
            <a:lstStyle/>
            <a:p>
              <a:pPr algn="l" rtl="0">
                <a:defRPr sz="1000"/>
              </a:pPr>
              <a:r>
                <a:rPr lang="en-CA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No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38100</xdr:colOff>
          <xdr:row>23</xdr:row>
          <xdr:rowOff>38100</xdr:rowOff>
        </xdr:from>
        <xdr:to>
          <xdr:col>8</xdr:col>
          <xdr:colOff>342900</xdr:colOff>
          <xdr:row>23</xdr:row>
          <xdr:rowOff>257175</xdr:rowOff>
        </xdr:to>
        <xdr:sp macro="" textlink="">
          <xdr:nvSpPr>
            <xdr:cNvPr id="9229" name="Check Box 13" hidden="1">
              <a:extLst>
                <a:ext uri="{63B3BB69-23CF-44E3-9099-C40C66FF867C}">
                  <a14:compatExt spid="_x0000_s9229"/>
                </a:ext>
              </a:extLst>
            </xdr:cNvPr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</xdr:spPr>
          <xdr:txBody>
            <a:bodyPr vertOverflow="clip" wrap="square" lIns="27432" tIns="18288" rIns="0" bIns="18288" anchor="ctr" upright="1"/>
            <a:lstStyle/>
            <a:p>
              <a:pPr algn="l" rtl="0">
                <a:defRPr sz="1000"/>
              </a:pPr>
              <a:r>
                <a:rPr lang="en-CA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Yes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657225</xdr:colOff>
          <xdr:row>23</xdr:row>
          <xdr:rowOff>38100</xdr:rowOff>
        </xdr:from>
        <xdr:to>
          <xdr:col>8</xdr:col>
          <xdr:colOff>962025</xdr:colOff>
          <xdr:row>23</xdr:row>
          <xdr:rowOff>257175</xdr:rowOff>
        </xdr:to>
        <xdr:sp macro="" textlink="">
          <xdr:nvSpPr>
            <xdr:cNvPr id="9230" name="Check Box 14" hidden="1">
              <a:extLst>
                <a:ext uri="{63B3BB69-23CF-44E3-9099-C40C66FF867C}">
                  <a14:compatExt spid="_x0000_s9230"/>
                </a:ext>
              </a:extLst>
            </xdr:cNvPr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</xdr:spPr>
          <xdr:txBody>
            <a:bodyPr vertOverflow="clip" wrap="square" lIns="27432" tIns="18288" rIns="0" bIns="18288" anchor="ctr" upright="1"/>
            <a:lstStyle/>
            <a:p>
              <a:pPr algn="l" rtl="0">
                <a:defRPr sz="1000"/>
              </a:pPr>
              <a:r>
                <a:rPr lang="en-CA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No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38100</xdr:colOff>
          <xdr:row>26</xdr:row>
          <xdr:rowOff>38100</xdr:rowOff>
        </xdr:from>
        <xdr:to>
          <xdr:col>8</xdr:col>
          <xdr:colOff>342900</xdr:colOff>
          <xdr:row>26</xdr:row>
          <xdr:rowOff>257175</xdr:rowOff>
        </xdr:to>
        <xdr:sp macro="" textlink="">
          <xdr:nvSpPr>
            <xdr:cNvPr id="9231" name="Check Box 15" hidden="1">
              <a:extLst>
                <a:ext uri="{63B3BB69-23CF-44E3-9099-C40C66FF867C}">
                  <a14:compatExt spid="_x0000_s9231"/>
                </a:ext>
              </a:extLst>
            </xdr:cNvPr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</xdr:spPr>
          <xdr:txBody>
            <a:bodyPr vertOverflow="clip" wrap="square" lIns="27432" tIns="18288" rIns="0" bIns="18288" anchor="ctr" upright="1"/>
            <a:lstStyle/>
            <a:p>
              <a:pPr algn="l" rtl="0">
                <a:defRPr sz="1000"/>
              </a:pPr>
              <a:r>
                <a:rPr lang="en-CA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Yes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657225</xdr:colOff>
          <xdr:row>26</xdr:row>
          <xdr:rowOff>38100</xdr:rowOff>
        </xdr:from>
        <xdr:to>
          <xdr:col>8</xdr:col>
          <xdr:colOff>962025</xdr:colOff>
          <xdr:row>26</xdr:row>
          <xdr:rowOff>257175</xdr:rowOff>
        </xdr:to>
        <xdr:sp macro="" textlink="">
          <xdr:nvSpPr>
            <xdr:cNvPr id="9232" name="Check Box 16" hidden="1">
              <a:extLst>
                <a:ext uri="{63B3BB69-23CF-44E3-9099-C40C66FF867C}">
                  <a14:compatExt spid="_x0000_s9232"/>
                </a:ext>
              </a:extLst>
            </xdr:cNvPr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</xdr:spPr>
          <xdr:txBody>
            <a:bodyPr vertOverflow="clip" wrap="square" lIns="27432" tIns="18288" rIns="0" bIns="18288" anchor="ctr" upright="1"/>
            <a:lstStyle/>
            <a:p>
              <a:pPr algn="l" rtl="0">
                <a:defRPr sz="1000"/>
              </a:pPr>
              <a:r>
                <a:rPr lang="en-CA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No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38100</xdr:colOff>
          <xdr:row>27</xdr:row>
          <xdr:rowOff>38100</xdr:rowOff>
        </xdr:from>
        <xdr:to>
          <xdr:col>8</xdr:col>
          <xdr:colOff>342900</xdr:colOff>
          <xdr:row>28</xdr:row>
          <xdr:rowOff>0</xdr:rowOff>
        </xdr:to>
        <xdr:sp macro="" textlink="">
          <xdr:nvSpPr>
            <xdr:cNvPr id="9233" name="Check Box 17" hidden="1">
              <a:extLst>
                <a:ext uri="{63B3BB69-23CF-44E3-9099-C40C66FF867C}">
                  <a14:compatExt spid="_x0000_s9233"/>
                </a:ext>
              </a:extLst>
            </xdr:cNvPr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</xdr:spPr>
          <xdr:txBody>
            <a:bodyPr vertOverflow="clip" wrap="square" lIns="27432" tIns="18288" rIns="0" bIns="18288" anchor="ctr" upright="1"/>
            <a:lstStyle/>
            <a:p>
              <a:pPr algn="l" rtl="0">
                <a:defRPr sz="1000"/>
              </a:pPr>
              <a:r>
                <a:rPr lang="en-CA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Yes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657225</xdr:colOff>
          <xdr:row>27</xdr:row>
          <xdr:rowOff>38100</xdr:rowOff>
        </xdr:from>
        <xdr:to>
          <xdr:col>8</xdr:col>
          <xdr:colOff>962025</xdr:colOff>
          <xdr:row>28</xdr:row>
          <xdr:rowOff>0</xdr:rowOff>
        </xdr:to>
        <xdr:sp macro="" textlink="">
          <xdr:nvSpPr>
            <xdr:cNvPr id="9234" name="Check Box 18" hidden="1">
              <a:extLst>
                <a:ext uri="{63B3BB69-23CF-44E3-9099-C40C66FF867C}">
                  <a14:compatExt spid="_x0000_s9234"/>
                </a:ext>
              </a:extLst>
            </xdr:cNvPr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</xdr:spPr>
          <xdr:txBody>
            <a:bodyPr vertOverflow="clip" wrap="square" lIns="27432" tIns="18288" rIns="0" bIns="18288" anchor="ctr" upright="1"/>
            <a:lstStyle/>
            <a:p>
              <a:pPr algn="l" rtl="0">
                <a:defRPr sz="1000"/>
              </a:pPr>
              <a:r>
                <a:rPr lang="en-CA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No</a:t>
              </a:r>
            </a:p>
          </xdr:txBody>
        </xdr:sp>
        <xdr:clientData/>
      </xdr:twoCellAnchor>
    </mc:Choice>
    <mc:Fallback/>
  </mc:AlternateContent>
</xdr:wsDr>
</file>

<file path=xl/drawings/drawing3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38100</xdr:colOff>
          <xdr:row>15</xdr:row>
          <xdr:rowOff>38100</xdr:rowOff>
        </xdr:from>
        <xdr:to>
          <xdr:col>8</xdr:col>
          <xdr:colOff>342900</xdr:colOff>
          <xdr:row>15</xdr:row>
          <xdr:rowOff>257175</xdr:rowOff>
        </xdr:to>
        <xdr:sp macro="" textlink="">
          <xdr:nvSpPr>
            <xdr:cNvPr id="10241" name="Check Box 1" hidden="1">
              <a:extLst>
                <a:ext uri="{63B3BB69-23CF-44E3-9099-C40C66FF867C}">
                  <a14:compatExt spid="_x0000_s10241"/>
                </a:ext>
              </a:extLst>
            </xdr:cNvPr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</xdr:spPr>
          <xdr:txBody>
            <a:bodyPr vertOverflow="clip" wrap="square" lIns="27432" tIns="18288" rIns="0" bIns="18288" anchor="ctr" upright="1"/>
            <a:lstStyle/>
            <a:p>
              <a:pPr algn="l" rtl="0">
                <a:defRPr sz="1000"/>
              </a:pPr>
              <a:r>
                <a:rPr lang="en-CA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Yes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657225</xdr:colOff>
          <xdr:row>15</xdr:row>
          <xdr:rowOff>38100</xdr:rowOff>
        </xdr:from>
        <xdr:to>
          <xdr:col>8</xdr:col>
          <xdr:colOff>962025</xdr:colOff>
          <xdr:row>15</xdr:row>
          <xdr:rowOff>257175</xdr:rowOff>
        </xdr:to>
        <xdr:sp macro="" textlink="">
          <xdr:nvSpPr>
            <xdr:cNvPr id="10242" name="Check Box 2" hidden="1">
              <a:extLst>
                <a:ext uri="{63B3BB69-23CF-44E3-9099-C40C66FF867C}">
                  <a14:compatExt spid="_x0000_s10242"/>
                </a:ext>
              </a:extLst>
            </xdr:cNvPr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</xdr:spPr>
          <xdr:txBody>
            <a:bodyPr vertOverflow="clip" wrap="square" lIns="27432" tIns="18288" rIns="0" bIns="18288" anchor="ctr" upright="1"/>
            <a:lstStyle/>
            <a:p>
              <a:pPr algn="l" rtl="0">
                <a:defRPr sz="1000"/>
              </a:pPr>
              <a:r>
                <a:rPr lang="en-CA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No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38100</xdr:colOff>
          <xdr:row>16</xdr:row>
          <xdr:rowOff>38100</xdr:rowOff>
        </xdr:from>
        <xdr:to>
          <xdr:col>8</xdr:col>
          <xdr:colOff>342900</xdr:colOff>
          <xdr:row>16</xdr:row>
          <xdr:rowOff>257175</xdr:rowOff>
        </xdr:to>
        <xdr:sp macro="" textlink="">
          <xdr:nvSpPr>
            <xdr:cNvPr id="10243" name="Check Box 3" hidden="1">
              <a:extLst>
                <a:ext uri="{63B3BB69-23CF-44E3-9099-C40C66FF867C}">
                  <a14:compatExt spid="_x0000_s10243"/>
                </a:ext>
              </a:extLst>
            </xdr:cNvPr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</xdr:spPr>
          <xdr:txBody>
            <a:bodyPr vertOverflow="clip" wrap="square" lIns="27432" tIns="18288" rIns="0" bIns="18288" anchor="ctr" upright="1"/>
            <a:lstStyle/>
            <a:p>
              <a:pPr algn="l" rtl="0">
                <a:defRPr sz="1000"/>
              </a:pPr>
              <a:r>
                <a:rPr lang="en-CA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Yes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657225</xdr:colOff>
          <xdr:row>16</xdr:row>
          <xdr:rowOff>38100</xdr:rowOff>
        </xdr:from>
        <xdr:to>
          <xdr:col>8</xdr:col>
          <xdr:colOff>962025</xdr:colOff>
          <xdr:row>16</xdr:row>
          <xdr:rowOff>257175</xdr:rowOff>
        </xdr:to>
        <xdr:sp macro="" textlink="">
          <xdr:nvSpPr>
            <xdr:cNvPr id="10244" name="Check Box 4" hidden="1">
              <a:extLst>
                <a:ext uri="{63B3BB69-23CF-44E3-9099-C40C66FF867C}">
                  <a14:compatExt spid="_x0000_s10244"/>
                </a:ext>
              </a:extLst>
            </xdr:cNvPr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</xdr:spPr>
          <xdr:txBody>
            <a:bodyPr vertOverflow="clip" wrap="square" lIns="27432" tIns="18288" rIns="0" bIns="18288" anchor="ctr" upright="1"/>
            <a:lstStyle/>
            <a:p>
              <a:pPr algn="l" rtl="0">
                <a:defRPr sz="1000"/>
              </a:pPr>
              <a:r>
                <a:rPr lang="en-CA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No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38100</xdr:colOff>
          <xdr:row>17</xdr:row>
          <xdr:rowOff>38100</xdr:rowOff>
        </xdr:from>
        <xdr:to>
          <xdr:col>8</xdr:col>
          <xdr:colOff>342900</xdr:colOff>
          <xdr:row>17</xdr:row>
          <xdr:rowOff>257175</xdr:rowOff>
        </xdr:to>
        <xdr:sp macro="" textlink="">
          <xdr:nvSpPr>
            <xdr:cNvPr id="10245" name="Check Box 5" hidden="1">
              <a:extLst>
                <a:ext uri="{63B3BB69-23CF-44E3-9099-C40C66FF867C}">
                  <a14:compatExt spid="_x0000_s10245"/>
                </a:ext>
              </a:extLst>
            </xdr:cNvPr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</xdr:spPr>
          <xdr:txBody>
            <a:bodyPr vertOverflow="clip" wrap="square" lIns="27432" tIns="18288" rIns="0" bIns="18288" anchor="ctr" upright="1"/>
            <a:lstStyle/>
            <a:p>
              <a:pPr algn="l" rtl="0">
                <a:defRPr sz="1000"/>
              </a:pPr>
              <a:r>
                <a:rPr lang="en-CA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Yes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657225</xdr:colOff>
          <xdr:row>17</xdr:row>
          <xdr:rowOff>38100</xdr:rowOff>
        </xdr:from>
        <xdr:to>
          <xdr:col>8</xdr:col>
          <xdr:colOff>962025</xdr:colOff>
          <xdr:row>17</xdr:row>
          <xdr:rowOff>257175</xdr:rowOff>
        </xdr:to>
        <xdr:sp macro="" textlink="">
          <xdr:nvSpPr>
            <xdr:cNvPr id="10246" name="Check Box 6" hidden="1">
              <a:extLst>
                <a:ext uri="{63B3BB69-23CF-44E3-9099-C40C66FF867C}">
                  <a14:compatExt spid="_x0000_s10246"/>
                </a:ext>
              </a:extLst>
            </xdr:cNvPr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</xdr:spPr>
          <xdr:txBody>
            <a:bodyPr vertOverflow="clip" wrap="square" lIns="27432" tIns="18288" rIns="0" bIns="18288" anchor="ctr" upright="1"/>
            <a:lstStyle/>
            <a:p>
              <a:pPr algn="l" rtl="0">
                <a:defRPr sz="1000"/>
              </a:pPr>
              <a:r>
                <a:rPr lang="en-CA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No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38100</xdr:colOff>
          <xdr:row>22</xdr:row>
          <xdr:rowOff>38100</xdr:rowOff>
        </xdr:from>
        <xdr:to>
          <xdr:col>8</xdr:col>
          <xdr:colOff>342900</xdr:colOff>
          <xdr:row>22</xdr:row>
          <xdr:rowOff>257175</xdr:rowOff>
        </xdr:to>
        <xdr:sp macro="" textlink="">
          <xdr:nvSpPr>
            <xdr:cNvPr id="10247" name="Check Box 7" hidden="1">
              <a:extLst>
                <a:ext uri="{63B3BB69-23CF-44E3-9099-C40C66FF867C}">
                  <a14:compatExt spid="_x0000_s10247"/>
                </a:ext>
              </a:extLst>
            </xdr:cNvPr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</xdr:spPr>
          <xdr:txBody>
            <a:bodyPr vertOverflow="clip" wrap="square" lIns="27432" tIns="18288" rIns="0" bIns="18288" anchor="ctr" upright="1"/>
            <a:lstStyle/>
            <a:p>
              <a:pPr algn="l" rtl="0">
                <a:defRPr sz="1000"/>
              </a:pPr>
              <a:r>
                <a:rPr lang="en-CA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Yes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657225</xdr:colOff>
          <xdr:row>22</xdr:row>
          <xdr:rowOff>38100</xdr:rowOff>
        </xdr:from>
        <xdr:to>
          <xdr:col>8</xdr:col>
          <xdr:colOff>962025</xdr:colOff>
          <xdr:row>22</xdr:row>
          <xdr:rowOff>257175</xdr:rowOff>
        </xdr:to>
        <xdr:sp macro="" textlink="">
          <xdr:nvSpPr>
            <xdr:cNvPr id="10248" name="Check Box 8" hidden="1">
              <a:extLst>
                <a:ext uri="{63B3BB69-23CF-44E3-9099-C40C66FF867C}">
                  <a14:compatExt spid="_x0000_s10248"/>
                </a:ext>
              </a:extLst>
            </xdr:cNvPr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</xdr:spPr>
          <xdr:txBody>
            <a:bodyPr vertOverflow="clip" wrap="square" lIns="27432" tIns="18288" rIns="0" bIns="18288" anchor="ctr" upright="1"/>
            <a:lstStyle/>
            <a:p>
              <a:pPr algn="l" rtl="0">
                <a:defRPr sz="1000"/>
              </a:pPr>
              <a:r>
                <a:rPr lang="en-CA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No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38100</xdr:colOff>
          <xdr:row>23</xdr:row>
          <xdr:rowOff>38100</xdr:rowOff>
        </xdr:from>
        <xdr:to>
          <xdr:col>8</xdr:col>
          <xdr:colOff>342900</xdr:colOff>
          <xdr:row>23</xdr:row>
          <xdr:rowOff>257175</xdr:rowOff>
        </xdr:to>
        <xdr:sp macro="" textlink="">
          <xdr:nvSpPr>
            <xdr:cNvPr id="10249" name="Check Box 9" hidden="1">
              <a:extLst>
                <a:ext uri="{63B3BB69-23CF-44E3-9099-C40C66FF867C}">
                  <a14:compatExt spid="_x0000_s10249"/>
                </a:ext>
              </a:extLst>
            </xdr:cNvPr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</xdr:spPr>
          <xdr:txBody>
            <a:bodyPr vertOverflow="clip" wrap="square" lIns="27432" tIns="18288" rIns="0" bIns="18288" anchor="ctr" upright="1"/>
            <a:lstStyle/>
            <a:p>
              <a:pPr algn="l" rtl="0">
                <a:defRPr sz="1000"/>
              </a:pPr>
              <a:r>
                <a:rPr lang="en-CA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Yes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657225</xdr:colOff>
          <xdr:row>23</xdr:row>
          <xdr:rowOff>38100</xdr:rowOff>
        </xdr:from>
        <xdr:to>
          <xdr:col>8</xdr:col>
          <xdr:colOff>962025</xdr:colOff>
          <xdr:row>23</xdr:row>
          <xdr:rowOff>257175</xdr:rowOff>
        </xdr:to>
        <xdr:sp macro="" textlink="">
          <xdr:nvSpPr>
            <xdr:cNvPr id="10250" name="Check Box 10" hidden="1">
              <a:extLst>
                <a:ext uri="{63B3BB69-23CF-44E3-9099-C40C66FF867C}">
                  <a14:compatExt spid="_x0000_s10250"/>
                </a:ext>
              </a:extLst>
            </xdr:cNvPr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</xdr:spPr>
          <xdr:txBody>
            <a:bodyPr vertOverflow="clip" wrap="square" lIns="27432" tIns="18288" rIns="0" bIns="18288" anchor="ctr" upright="1"/>
            <a:lstStyle/>
            <a:p>
              <a:pPr algn="l" rtl="0">
                <a:defRPr sz="1000"/>
              </a:pPr>
              <a:r>
                <a:rPr lang="en-CA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No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38100</xdr:colOff>
          <xdr:row>24</xdr:row>
          <xdr:rowOff>38100</xdr:rowOff>
        </xdr:from>
        <xdr:to>
          <xdr:col>8</xdr:col>
          <xdr:colOff>342900</xdr:colOff>
          <xdr:row>24</xdr:row>
          <xdr:rowOff>257175</xdr:rowOff>
        </xdr:to>
        <xdr:sp macro="" textlink="">
          <xdr:nvSpPr>
            <xdr:cNvPr id="10251" name="Check Box 11" hidden="1">
              <a:extLst>
                <a:ext uri="{63B3BB69-23CF-44E3-9099-C40C66FF867C}">
                  <a14:compatExt spid="_x0000_s10251"/>
                </a:ext>
              </a:extLst>
            </xdr:cNvPr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</xdr:spPr>
          <xdr:txBody>
            <a:bodyPr vertOverflow="clip" wrap="square" lIns="27432" tIns="18288" rIns="0" bIns="18288" anchor="ctr" upright="1"/>
            <a:lstStyle/>
            <a:p>
              <a:pPr algn="l" rtl="0">
                <a:defRPr sz="1000"/>
              </a:pPr>
              <a:r>
                <a:rPr lang="en-CA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Yes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657225</xdr:colOff>
          <xdr:row>24</xdr:row>
          <xdr:rowOff>38100</xdr:rowOff>
        </xdr:from>
        <xdr:to>
          <xdr:col>8</xdr:col>
          <xdr:colOff>962025</xdr:colOff>
          <xdr:row>24</xdr:row>
          <xdr:rowOff>257175</xdr:rowOff>
        </xdr:to>
        <xdr:sp macro="" textlink="">
          <xdr:nvSpPr>
            <xdr:cNvPr id="10252" name="Check Box 12" hidden="1">
              <a:extLst>
                <a:ext uri="{63B3BB69-23CF-44E3-9099-C40C66FF867C}">
                  <a14:compatExt spid="_x0000_s10252"/>
                </a:ext>
              </a:extLst>
            </xdr:cNvPr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</xdr:spPr>
          <xdr:txBody>
            <a:bodyPr vertOverflow="clip" wrap="square" lIns="27432" tIns="18288" rIns="0" bIns="18288" anchor="ctr" upright="1"/>
            <a:lstStyle/>
            <a:p>
              <a:pPr algn="l" rtl="0">
                <a:defRPr sz="1000"/>
              </a:pPr>
              <a:r>
                <a:rPr lang="en-CA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No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38100</xdr:colOff>
          <xdr:row>26</xdr:row>
          <xdr:rowOff>38100</xdr:rowOff>
        </xdr:from>
        <xdr:to>
          <xdr:col>8</xdr:col>
          <xdr:colOff>342900</xdr:colOff>
          <xdr:row>26</xdr:row>
          <xdr:rowOff>257175</xdr:rowOff>
        </xdr:to>
        <xdr:sp macro="" textlink="">
          <xdr:nvSpPr>
            <xdr:cNvPr id="10253" name="Check Box 13" hidden="1">
              <a:extLst>
                <a:ext uri="{63B3BB69-23CF-44E3-9099-C40C66FF867C}">
                  <a14:compatExt spid="_x0000_s10253"/>
                </a:ext>
              </a:extLst>
            </xdr:cNvPr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</xdr:spPr>
          <xdr:txBody>
            <a:bodyPr vertOverflow="clip" wrap="square" lIns="27432" tIns="18288" rIns="0" bIns="18288" anchor="ctr" upright="1"/>
            <a:lstStyle/>
            <a:p>
              <a:pPr algn="l" rtl="0">
                <a:defRPr sz="1000"/>
              </a:pPr>
              <a:r>
                <a:rPr lang="en-CA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Yes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657225</xdr:colOff>
          <xdr:row>26</xdr:row>
          <xdr:rowOff>38100</xdr:rowOff>
        </xdr:from>
        <xdr:to>
          <xdr:col>8</xdr:col>
          <xdr:colOff>962025</xdr:colOff>
          <xdr:row>26</xdr:row>
          <xdr:rowOff>257175</xdr:rowOff>
        </xdr:to>
        <xdr:sp macro="" textlink="">
          <xdr:nvSpPr>
            <xdr:cNvPr id="10254" name="Check Box 14" hidden="1">
              <a:extLst>
                <a:ext uri="{63B3BB69-23CF-44E3-9099-C40C66FF867C}">
                  <a14:compatExt spid="_x0000_s10254"/>
                </a:ext>
              </a:extLst>
            </xdr:cNvPr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</xdr:spPr>
          <xdr:txBody>
            <a:bodyPr vertOverflow="clip" wrap="square" lIns="27432" tIns="18288" rIns="0" bIns="18288" anchor="ctr" upright="1"/>
            <a:lstStyle/>
            <a:p>
              <a:pPr algn="l" rtl="0">
                <a:defRPr sz="1000"/>
              </a:pPr>
              <a:r>
                <a:rPr lang="en-CA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No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38100</xdr:colOff>
          <xdr:row>18</xdr:row>
          <xdr:rowOff>38100</xdr:rowOff>
        </xdr:from>
        <xdr:to>
          <xdr:col>8</xdr:col>
          <xdr:colOff>342900</xdr:colOff>
          <xdr:row>18</xdr:row>
          <xdr:rowOff>257175</xdr:rowOff>
        </xdr:to>
        <xdr:sp macro="" textlink="">
          <xdr:nvSpPr>
            <xdr:cNvPr id="10255" name="Check Box 15" hidden="1">
              <a:extLst>
                <a:ext uri="{63B3BB69-23CF-44E3-9099-C40C66FF867C}">
                  <a14:compatExt spid="_x0000_s10255"/>
                </a:ext>
              </a:extLst>
            </xdr:cNvPr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</xdr:spPr>
          <xdr:txBody>
            <a:bodyPr vertOverflow="clip" wrap="square" lIns="27432" tIns="18288" rIns="0" bIns="18288" anchor="ctr" upright="1"/>
            <a:lstStyle/>
            <a:p>
              <a:pPr algn="l" rtl="0">
                <a:defRPr sz="1000"/>
              </a:pPr>
              <a:r>
                <a:rPr lang="en-CA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Yes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657225</xdr:colOff>
          <xdr:row>18</xdr:row>
          <xdr:rowOff>38100</xdr:rowOff>
        </xdr:from>
        <xdr:to>
          <xdr:col>8</xdr:col>
          <xdr:colOff>962025</xdr:colOff>
          <xdr:row>18</xdr:row>
          <xdr:rowOff>257175</xdr:rowOff>
        </xdr:to>
        <xdr:sp macro="" textlink="">
          <xdr:nvSpPr>
            <xdr:cNvPr id="10256" name="Check Box 16" hidden="1">
              <a:extLst>
                <a:ext uri="{63B3BB69-23CF-44E3-9099-C40C66FF867C}">
                  <a14:compatExt spid="_x0000_s10256"/>
                </a:ext>
              </a:extLst>
            </xdr:cNvPr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</xdr:spPr>
          <xdr:txBody>
            <a:bodyPr vertOverflow="clip" wrap="square" lIns="27432" tIns="18288" rIns="0" bIns="18288" anchor="ctr" upright="1"/>
            <a:lstStyle/>
            <a:p>
              <a:pPr algn="l" rtl="0">
                <a:defRPr sz="1000"/>
              </a:pPr>
              <a:r>
                <a:rPr lang="en-CA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No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38100</xdr:colOff>
          <xdr:row>25</xdr:row>
          <xdr:rowOff>38100</xdr:rowOff>
        </xdr:from>
        <xdr:to>
          <xdr:col>8</xdr:col>
          <xdr:colOff>342900</xdr:colOff>
          <xdr:row>25</xdr:row>
          <xdr:rowOff>257175</xdr:rowOff>
        </xdr:to>
        <xdr:sp macro="" textlink="">
          <xdr:nvSpPr>
            <xdr:cNvPr id="10257" name="Check Box 17" hidden="1">
              <a:extLst>
                <a:ext uri="{63B3BB69-23CF-44E3-9099-C40C66FF867C}">
                  <a14:compatExt spid="_x0000_s10257"/>
                </a:ext>
              </a:extLst>
            </xdr:cNvPr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</xdr:spPr>
          <xdr:txBody>
            <a:bodyPr vertOverflow="clip" wrap="square" lIns="27432" tIns="18288" rIns="0" bIns="18288" anchor="ctr" upright="1"/>
            <a:lstStyle/>
            <a:p>
              <a:pPr algn="l" rtl="0">
                <a:defRPr sz="1000"/>
              </a:pPr>
              <a:r>
                <a:rPr lang="en-CA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Yes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657225</xdr:colOff>
          <xdr:row>25</xdr:row>
          <xdr:rowOff>38100</xdr:rowOff>
        </xdr:from>
        <xdr:to>
          <xdr:col>8</xdr:col>
          <xdr:colOff>962025</xdr:colOff>
          <xdr:row>25</xdr:row>
          <xdr:rowOff>257175</xdr:rowOff>
        </xdr:to>
        <xdr:sp macro="" textlink="">
          <xdr:nvSpPr>
            <xdr:cNvPr id="10258" name="Check Box 18" hidden="1">
              <a:extLst>
                <a:ext uri="{63B3BB69-23CF-44E3-9099-C40C66FF867C}">
                  <a14:compatExt spid="_x0000_s10258"/>
                </a:ext>
              </a:extLst>
            </xdr:cNvPr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</xdr:spPr>
          <xdr:txBody>
            <a:bodyPr vertOverflow="clip" wrap="square" lIns="27432" tIns="18288" rIns="0" bIns="18288" anchor="ctr" upright="1"/>
            <a:lstStyle/>
            <a:p>
              <a:pPr algn="l" rtl="0">
                <a:defRPr sz="1000"/>
              </a:pPr>
              <a:r>
                <a:rPr lang="en-CA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No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38100</xdr:colOff>
          <xdr:row>28</xdr:row>
          <xdr:rowOff>38100</xdr:rowOff>
        </xdr:from>
        <xdr:to>
          <xdr:col>8</xdr:col>
          <xdr:colOff>342900</xdr:colOff>
          <xdr:row>29</xdr:row>
          <xdr:rowOff>0</xdr:rowOff>
        </xdr:to>
        <xdr:sp macro="" textlink="">
          <xdr:nvSpPr>
            <xdr:cNvPr id="10259" name="Check Box 19" hidden="1">
              <a:extLst>
                <a:ext uri="{63B3BB69-23CF-44E3-9099-C40C66FF867C}">
                  <a14:compatExt spid="_x0000_s10259"/>
                </a:ext>
              </a:extLst>
            </xdr:cNvPr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</xdr:spPr>
          <xdr:txBody>
            <a:bodyPr vertOverflow="clip" wrap="square" lIns="27432" tIns="18288" rIns="0" bIns="18288" anchor="ctr" upright="1"/>
            <a:lstStyle/>
            <a:p>
              <a:pPr algn="l" rtl="0">
                <a:defRPr sz="1000"/>
              </a:pPr>
              <a:r>
                <a:rPr lang="en-CA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Yes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657225</xdr:colOff>
          <xdr:row>28</xdr:row>
          <xdr:rowOff>38100</xdr:rowOff>
        </xdr:from>
        <xdr:to>
          <xdr:col>8</xdr:col>
          <xdr:colOff>962025</xdr:colOff>
          <xdr:row>29</xdr:row>
          <xdr:rowOff>0</xdr:rowOff>
        </xdr:to>
        <xdr:sp macro="" textlink="">
          <xdr:nvSpPr>
            <xdr:cNvPr id="10260" name="Check Box 20" hidden="1">
              <a:extLst>
                <a:ext uri="{63B3BB69-23CF-44E3-9099-C40C66FF867C}">
                  <a14:compatExt spid="_x0000_s10260"/>
                </a:ext>
              </a:extLst>
            </xdr:cNvPr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</xdr:spPr>
          <xdr:txBody>
            <a:bodyPr vertOverflow="clip" wrap="square" lIns="27432" tIns="18288" rIns="0" bIns="18288" anchor="ctr" upright="1"/>
            <a:lstStyle/>
            <a:p>
              <a:pPr algn="l" rtl="0">
                <a:defRPr sz="1000"/>
              </a:pPr>
              <a:r>
                <a:rPr lang="en-CA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No</a:t>
              </a:r>
            </a:p>
          </xdr:txBody>
        </xdr:sp>
        <xdr:clientData/>
      </xdr:twoCellAnchor>
    </mc:Choice>
    <mc:Fallback/>
  </mc:AlternateContent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ctrlProp" Target="../ctrlProps/ctrlProp5.xml"/><Relationship Id="rId13" Type="http://schemas.openxmlformats.org/officeDocument/2006/relationships/ctrlProp" Target="../ctrlProps/ctrlProp10.xml"/><Relationship Id="rId18" Type="http://schemas.openxmlformats.org/officeDocument/2006/relationships/ctrlProp" Target="../ctrlProps/ctrlProp15.xml"/><Relationship Id="rId3" Type="http://schemas.openxmlformats.org/officeDocument/2006/relationships/vmlDrawing" Target="../drawings/vmlDrawing1.vml"/><Relationship Id="rId21" Type="http://schemas.openxmlformats.org/officeDocument/2006/relationships/ctrlProp" Target="../ctrlProps/ctrlProp18.xml"/><Relationship Id="rId7" Type="http://schemas.openxmlformats.org/officeDocument/2006/relationships/ctrlProp" Target="../ctrlProps/ctrlProp4.xml"/><Relationship Id="rId12" Type="http://schemas.openxmlformats.org/officeDocument/2006/relationships/ctrlProp" Target="../ctrlProps/ctrlProp9.xml"/><Relationship Id="rId17" Type="http://schemas.openxmlformats.org/officeDocument/2006/relationships/ctrlProp" Target="../ctrlProps/ctrlProp14.xml"/><Relationship Id="rId2" Type="http://schemas.openxmlformats.org/officeDocument/2006/relationships/drawing" Target="../drawings/drawing1.xml"/><Relationship Id="rId16" Type="http://schemas.openxmlformats.org/officeDocument/2006/relationships/ctrlProp" Target="../ctrlProps/ctrlProp13.xml"/><Relationship Id="rId20" Type="http://schemas.openxmlformats.org/officeDocument/2006/relationships/ctrlProp" Target="../ctrlProps/ctrlProp17.xml"/><Relationship Id="rId1" Type="http://schemas.openxmlformats.org/officeDocument/2006/relationships/printerSettings" Target="../printerSettings/printerSettings2.bin"/><Relationship Id="rId6" Type="http://schemas.openxmlformats.org/officeDocument/2006/relationships/ctrlProp" Target="../ctrlProps/ctrlProp3.xml"/><Relationship Id="rId11" Type="http://schemas.openxmlformats.org/officeDocument/2006/relationships/ctrlProp" Target="../ctrlProps/ctrlProp8.xml"/><Relationship Id="rId5" Type="http://schemas.openxmlformats.org/officeDocument/2006/relationships/ctrlProp" Target="../ctrlProps/ctrlProp2.xml"/><Relationship Id="rId15" Type="http://schemas.openxmlformats.org/officeDocument/2006/relationships/ctrlProp" Target="../ctrlProps/ctrlProp12.xml"/><Relationship Id="rId10" Type="http://schemas.openxmlformats.org/officeDocument/2006/relationships/ctrlProp" Target="../ctrlProps/ctrlProp7.xml"/><Relationship Id="rId19" Type="http://schemas.openxmlformats.org/officeDocument/2006/relationships/ctrlProp" Target="../ctrlProps/ctrlProp16.xml"/><Relationship Id="rId4" Type="http://schemas.openxmlformats.org/officeDocument/2006/relationships/ctrlProp" Target="../ctrlProps/ctrlProp1.xml"/><Relationship Id="rId9" Type="http://schemas.openxmlformats.org/officeDocument/2006/relationships/ctrlProp" Target="../ctrlProps/ctrlProp6.xml"/><Relationship Id="rId14" Type="http://schemas.openxmlformats.org/officeDocument/2006/relationships/ctrlProp" Target="../ctrlProps/ctrlProp11.xml"/><Relationship Id="rId22" Type="http://schemas.openxmlformats.org/officeDocument/2006/relationships/ctrlProp" Target="../ctrlProps/ctrlProp19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8" Type="http://schemas.openxmlformats.org/officeDocument/2006/relationships/ctrlProp" Target="../ctrlProps/ctrlProp24.xml"/><Relationship Id="rId13" Type="http://schemas.openxmlformats.org/officeDocument/2006/relationships/ctrlProp" Target="../ctrlProps/ctrlProp29.xml"/><Relationship Id="rId18" Type="http://schemas.openxmlformats.org/officeDocument/2006/relationships/ctrlProp" Target="../ctrlProps/ctrlProp34.xml"/><Relationship Id="rId3" Type="http://schemas.openxmlformats.org/officeDocument/2006/relationships/vmlDrawing" Target="../drawings/vmlDrawing4.vml"/><Relationship Id="rId21" Type="http://schemas.openxmlformats.org/officeDocument/2006/relationships/ctrlProp" Target="../ctrlProps/ctrlProp37.xml"/><Relationship Id="rId7" Type="http://schemas.openxmlformats.org/officeDocument/2006/relationships/ctrlProp" Target="../ctrlProps/ctrlProp23.xml"/><Relationship Id="rId12" Type="http://schemas.openxmlformats.org/officeDocument/2006/relationships/ctrlProp" Target="../ctrlProps/ctrlProp28.xml"/><Relationship Id="rId17" Type="http://schemas.openxmlformats.org/officeDocument/2006/relationships/ctrlProp" Target="../ctrlProps/ctrlProp33.xml"/><Relationship Id="rId2" Type="http://schemas.openxmlformats.org/officeDocument/2006/relationships/drawing" Target="../drawings/drawing2.xml"/><Relationship Id="rId16" Type="http://schemas.openxmlformats.org/officeDocument/2006/relationships/ctrlProp" Target="../ctrlProps/ctrlProp32.xml"/><Relationship Id="rId20" Type="http://schemas.openxmlformats.org/officeDocument/2006/relationships/ctrlProp" Target="../ctrlProps/ctrlProp36.xml"/><Relationship Id="rId1" Type="http://schemas.openxmlformats.org/officeDocument/2006/relationships/printerSettings" Target="../printerSettings/printerSettings5.bin"/><Relationship Id="rId6" Type="http://schemas.openxmlformats.org/officeDocument/2006/relationships/ctrlProp" Target="../ctrlProps/ctrlProp22.xml"/><Relationship Id="rId11" Type="http://schemas.openxmlformats.org/officeDocument/2006/relationships/ctrlProp" Target="../ctrlProps/ctrlProp27.xml"/><Relationship Id="rId5" Type="http://schemas.openxmlformats.org/officeDocument/2006/relationships/ctrlProp" Target="../ctrlProps/ctrlProp21.xml"/><Relationship Id="rId15" Type="http://schemas.openxmlformats.org/officeDocument/2006/relationships/ctrlProp" Target="../ctrlProps/ctrlProp31.xml"/><Relationship Id="rId10" Type="http://schemas.openxmlformats.org/officeDocument/2006/relationships/ctrlProp" Target="../ctrlProps/ctrlProp26.xml"/><Relationship Id="rId19" Type="http://schemas.openxmlformats.org/officeDocument/2006/relationships/ctrlProp" Target="../ctrlProps/ctrlProp35.xml"/><Relationship Id="rId4" Type="http://schemas.openxmlformats.org/officeDocument/2006/relationships/ctrlProp" Target="../ctrlProps/ctrlProp20.xml"/><Relationship Id="rId9" Type="http://schemas.openxmlformats.org/officeDocument/2006/relationships/ctrlProp" Target="../ctrlProps/ctrlProp25.xml"/><Relationship Id="rId14" Type="http://schemas.openxmlformats.org/officeDocument/2006/relationships/ctrlProp" Target="../ctrlProps/ctrlProp30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8" Type="http://schemas.openxmlformats.org/officeDocument/2006/relationships/ctrlProp" Target="../ctrlProps/ctrlProp42.xml"/><Relationship Id="rId13" Type="http://schemas.openxmlformats.org/officeDocument/2006/relationships/ctrlProp" Target="../ctrlProps/ctrlProp47.xml"/><Relationship Id="rId18" Type="http://schemas.openxmlformats.org/officeDocument/2006/relationships/ctrlProp" Target="../ctrlProps/ctrlProp52.xml"/><Relationship Id="rId3" Type="http://schemas.openxmlformats.org/officeDocument/2006/relationships/vmlDrawing" Target="../drawings/vmlDrawing6.vml"/><Relationship Id="rId21" Type="http://schemas.openxmlformats.org/officeDocument/2006/relationships/ctrlProp" Target="../ctrlProps/ctrlProp55.xml"/><Relationship Id="rId7" Type="http://schemas.openxmlformats.org/officeDocument/2006/relationships/ctrlProp" Target="../ctrlProps/ctrlProp41.xml"/><Relationship Id="rId12" Type="http://schemas.openxmlformats.org/officeDocument/2006/relationships/ctrlProp" Target="../ctrlProps/ctrlProp46.xml"/><Relationship Id="rId17" Type="http://schemas.openxmlformats.org/officeDocument/2006/relationships/ctrlProp" Target="../ctrlProps/ctrlProp51.xml"/><Relationship Id="rId2" Type="http://schemas.openxmlformats.org/officeDocument/2006/relationships/drawing" Target="../drawings/drawing3.xml"/><Relationship Id="rId16" Type="http://schemas.openxmlformats.org/officeDocument/2006/relationships/ctrlProp" Target="../ctrlProps/ctrlProp50.xml"/><Relationship Id="rId20" Type="http://schemas.openxmlformats.org/officeDocument/2006/relationships/ctrlProp" Target="../ctrlProps/ctrlProp54.xml"/><Relationship Id="rId1" Type="http://schemas.openxmlformats.org/officeDocument/2006/relationships/printerSettings" Target="../printerSettings/printerSettings10.bin"/><Relationship Id="rId6" Type="http://schemas.openxmlformats.org/officeDocument/2006/relationships/ctrlProp" Target="../ctrlProps/ctrlProp40.xml"/><Relationship Id="rId11" Type="http://schemas.openxmlformats.org/officeDocument/2006/relationships/ctrlProp" Target="../ctrlProps/ctrlProp45.xml"/><Relationship Id="rId5" Type="http://schemas.openxmlformats.org/officeDocument/2006/relationships/ctrlProp" Target="../ctrlProps/ctrlProp39.xml"/><Relationship Id="rId15" Type="http://schemas.openxmlformats.org/officeDocument/2006/relationships/ctrlProp" Target="../ctrlProps/ctrlProp49.xml"/><Relationship Id="rId23" Type="http://schemas.openxmlformats.org/officeDocument/2006/relationships/ctrlProp" Target="../ctrlProps/ctrlProp57.xml"/><Relationship Id="rId10" Type="http://schemas.openxmlformats.org/officeDocument/2006/relationships/ctrlProp" Target="../ctrlProps/ctrlProp44.xml"/><Relationship Id="rId19" Type="http://schemas.openxmlformats.org/officeDocument/2006/relationships/ctrlProp" Target="../ctrlProps/ctrlProp53.xml"/><Relationship Id="rId4" Type="http://schemas.openxmlformats.org/officeDocument/2006/relationships/ctrlProp" Target="../ctrlProps/ctrlProp38.xml"/><Relationship Id="rId9" Type="http://schemas.openxmlformats.org/officeDocument/2006/relationships/ctrlProp" Target="../ctrlProps/ctrlProp43.xml"/><Relationship Id="rId14" Type="http://schemas.openxmlformats.org/officeDocument/2006/relationships/ctrlProp" Target="../ctrlProps/ctrlProp48.xml"/><Relationship Id="rId22" Type="http://schemas.openxmlformats.org/officeDocument/2006/relationships/ctrlProp" Target="../ctrlProps/ctrlProp5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V19"/>
  <sheetViews>
    <sheetView workbookViewId="0">
      <selection activeCell="B21" sqref="B21"/>
    </sheetView>
  </sheetViews>
  <sheetFormatPr defaultRowHeight="12.75" x14ac:dyDescent="0.2"/>
  <cols>
    <col min="1" max="1" width="4.85546875" customWidth="1"/>
    <col min="2" max="2" width="42.7109375" customWidth="1"/>
    <col min="3" max="4" width="18.85546875" customWidth="1"/>
    <col min="14" max="14" width="17" customWidth="1"/>
    <col min="15" max="17" width="41.28515625" customWidth="1"/>
  </cols>
  <sheetData>
    <row r="1" spans="1:22" ht="18" x14ac:dyDescent="0.25">
      <c r="A1" s="3" t="s">
        <v>0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</row>
    <row r="2" spans="1:22" ht="18" x14ac:dyDescent="0.25">
      <c r="A2" s="3" t="s">
        <v>6</v>
      </c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</row>
    <row r="3" spans="1:22" ht="13.5" thickBot="1" x14ac:dyDescent="0.25"/>
    <row r="4" spans="1:22" ht="21" customHeight="1" thickTop="1" thickBot="1" x14ac:dyDescent="0.25">
      <c r="A4" s="259"/>
      <c r="B4" s="260"/>
      <c r="C4" s="230" t="s">
        <v>158</v>
      </c>
      <c r="D4" s="231" t="s">
        <v>159</v>
      </c>
    </row>
    <row r="5" spans="1:22" ht="21" customHeight="1" thickTop="1" x14ac:dyDescent="0.2">
      <c r="A5" s="261">
        <v>1</v>
      </c>
      <c r="B5" s="262" t="s">
        <v>36</v>
      </c>
      <c r="C5" s="268">
        <v>43171</v>
      </c>
      <c r="D5" s="269" t="s">
        <v>227</v>
      </c>
    </row>
    <row r="6" spans="1:22" ht="21" customHeight="1" x14ac:dyDescent="0.2">
      <c r="A6" s="263">
        <v>2</v>
      </c>
      <c r="B6" s="264" t="s">
        <v>38</v>
      </c>
      <c r="C6" s="268">
        <v>43171</v>
      </c>
      <c r="D6" s="144" t="s">
        <v>227</v>
      </c>
    </row>
    <row r="7" spans="1:22" ht="21" customHeight="1" x14ac:dyDescent="0.2">
      <c r="A7" s="263">
        <v>3</v>
      </c>
      <c r="B7" s="264" t="s">
        <v>135</v>
      </c>
      <c r="C7" s="268">
        <v>43171</v>
      </c>
      <c r="D7" s="144" t="s">
        <v>227</v>
      </c>
    </row>
    <row r="8" spans="1:22" ht="21" customHeight="1" x14ac:dyDescent="0.2">
      <c r="A8" s="263">
        <v>4</v>
      </c>
      <c r="B8" s="264" t="s">
        <v>37</v>
      </c>
      <c r="C8" s="268">
        <v>43171</v>
      </c>
      <c r="D8" s="144" t="s">
        <v>227</v>
      </c>
    </row>
    <row r="9" spans="1:22" ht="21" customHeight="1" x14ac:dyDescent="0.2">
      <c r="A9" s="263"/>
      <c r="B9" s="265" t="s">
        <v>134</v>
      </c>
      <c r="C9" s="268">
        <v>43171</v>
      </c>
      <c r="D9" s="144" t="s">
        <v>227</v>
      </c>
    </row>
    <row r="10" spans="1:22" ht="21" customHeight="1" x14ac:dyDescent="0.2">
      <c r="A10" s="263">
        <v>5</v>
      </c>
      <c r="B10" s="264" t="s">
        <v>2</v>
      </c>
      <c r="C10" s="268">
        <v>43171</v>
      </c>
      <c r="D10" s="144" t="s">
        <v>247</v>
      </c>
    </row>
    <row r="11" spans="1:22" ht="21" customHeight="1" x14ac:dyDescent="0.2">
      <c r="A11" s="263"/>
      <c r="B11" s="265" t="s">
        <v>136</v>
      </c>
      <c r="C11" s="268">
        <v>43171</v>
      </c>
      <c r="D11" s="144" t="s">
        <v>247</v>
      </c>
    </row>
    <row r="12" spans="1:22" ht="21" customHeight="1" x14ac:dyDescent="0.2">
      <c r="A12" s="263">
        <v>6</v>
      </c>
      <c r="B12" s="264" t="s">
        <v>3</v>
      </c>
      <c r="C12" s="268">
        <v>43174</v>
      </c>
      <c r="D12" s="144" t="s">
        <v>250</v>
      </c>
    </row>
    <row r="13" spans="1:22" ht="21" customHeight="1" x14ac:dyDescent="0.2">
      <c r="A13" s="263">
        <v>7</v>
      </c>
      <c r="B13" s="264" t="s">
        <v>145</v>
      </c>
      <c r="C13" s="268">
        <v>43174</v>
      </c>
      <c r="D13" s="144" t="s">
        <v>250</v>
      </c>
    </row>
    <row r="14" spans="1:22" ht="21" customHeight="1" x14ac:dyDescent="0.2">
      <c r="A14" s="263">
        <v>8</v>
      </c>
      <c r="B14" s="264" t="s">
        <v>4</v>
      </c>
      <c r="C14" s="268">
        <v>43171</v>
      </c>
      <c r="D14" s="144" t="s">
        <v>250</v>
      </c>
      <c r="E14" t="s">
        <v>251</v>
      </c>
    </row>
    <row r="15" spans="1:22" ht="21" customHeight="1" x14ac:dyDescent="0.2">
      <c r="A15" s="263">
        <v>9</v>
      </c>
      <c r="B15" s="264" t="s">
        <v>156</v>
      </c>
      <c r="C15" s="268">
        <v>43174</v>
      </c>
      <c r="D15" s="144" t="s">
        <v>227</v>
      </c>
      <c r="E15" t="s">
        <v>257</v>
      </c>
    </row>
    <row r="16" spans="1:22" ht="21" customHeight="1" x14ac:dyDescent="0.2">
      <c r="A16" s="263">
        <v>10</v>
      </c>
      <c r="B16" s="264" t="s">
        <v>39</v>
      </c>
      <c r="C16" s="307">
        <v>43195</v>
      </c>
      <c r="D16" s="270" t="s">
        <v>255</v>
      </c>
      <c r="E16" t="s">
        <v>258</v>
      </c>
    </row>
    <row r="17" spans="1:4" ht="21" customHeight="1" x14ac:dyDescent="0.2">
      <c r="A17" s="263"/>
      <c r="B17" s="265" t="s">
        <v>132</v>
      </c>
      <c r="C17" s="268" t="s">
        <v>256</v>
      </c>
      <c r="D17" s="144" t="s">
        <v>250</v>
      </c>
    </row>
    <row r="18" spans="1:4" ht="21" customHeight="1" thickBot="1" x14ac:dyDescent="0.25">
      <c r="A18" s="266"/>
      <c r="B18" s="267" t="s">
        <v>133</v>
      </c>
      <c r="C18" s="271" t="s">
        <v>256</v>
      </c>
      <c r="D18" s="272" t="s">
        <v>250</v>
      </c>
    </row>
    <row r="19" spans="1:4" ht="13.5" thickTop="1" x14ac:dyDescent="0.2"/>
  </sheetData>
  <phoneticPr fontId="78" type="noConversion"/>
  <pageMargins left="0.7" right="0.7" top="0.75" bottom="0.75" header="0.3" footer="0.3"/>
  <pageSetup scale="58" fitToHeight="0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I36"/>
  <sheetViews>
    <sheetView workbookViewId="0">
      <selection activeCell="M27" sqref="M27"/>
    </sheetView>
  </sheetViews>
  <sheetFormatPr defaultRowHeight="16.5" x14ac:dyDescent="0.25"/>
  <cols>
    <col min="1" max="1" width="14.85546875" style="297" customWidth="1"/>
    <col min="2" max="2" width="6" style="297" customWidth="1"/>
    <col min="3" max="3" width="8.85546875" style="297" customWidth="1"/>
    <col min="4" max="4" width="14.7109375" style="297" customWidth="1"/>
    <col min="5" max="5" width="7.7109375" style="297" customWidth="1"/>
    <col min="6" max="6" width="14.7109375" style="297" customWidth="1"/>
    <col min="7" max="7" width="2.7109375" style="297" customWidth="1"/>
    <col min="8" max="8" width="14.7109375" style="297" customWidth="1"/>
    <col min="9" max="9" width="16.85546875" style="297" customWidth="1"/>
    <col min="10" max="16384" width="9.140625" style="273"/>
  </cols>
  <sheetData>
    <row r="1" spans="1:9" ht="20.25" x14ac:dyDescent="0.25">
      <c r="A1" s="308" t="s">
        <v>172</v>
      </c>
      <c r="B1" s="308"/>
      <c r="C1" s="308"/>
      <c r="D1" s="308"/>
      <c r="E1" s="308"/>
      <c r="F1" s="308"/>
      <c r="G1" s="308"/>
      <c r="H1" s="308"/>
      <c r="I1" s="308"/>
    </row>
    <row r="4" spans="1:9" x14ac:dyDescent="0.25">
      <c r="A4" s="274" t="s">
        <v>173</v>
      </c>
      <c r="B4" s="309">
        <v>43164</v>
      </c>
      <c r="C4" s="310"/>
      <c r="D4" s="274"/>
      <c r="E4" s="274"/>
      <c r="F4" s="311" t="s">
        <v>126</v>
      </c>
      <c r="G4" s="311"/>
      <c r="H4" s="311"/>
      <c r="I4" s="275" t="s">
        <v>229</v>
      </c>
    </row>
    <row r="5" spans="1:9" x14ac:dyDescent="0.25">
      <c r="A5" s="274"/>
      <c r="B5" s="274"/>
      <c r="C5" s="274"/>
      <c r="D5" s="274"/>
      <c r="E5" s="274"/>
      <c r="F5" s="274"/>
      <c r="G5" s="274"/>
      <c r="H5" s="274"/>
      <c r="I5" s="274"/>
    </row>
    <row r="6" spans="1:9" ht="18.75" x14ac:dyDescent="0.25">
      <c r="A6" s="276" t="s">
        <v>174</v>
      </c>
      <c r="B6" s="274"/>
      <c r="C6" s="274"/>
      <c r="D6" s="274"/>
      <c r="E6" s="274"/>
      <c r="F6" s="274"/>
      <c r="G6" s="274"/>
      <c r="H6" s="274"/>
      <c r="I6" s="274"/>
    </row>
    <row r="7" spans="1:9" x14ac:dyDescent="0.25">
      <c r="A7" s="274" t="s">
        <v>175</v>
      </c>
      <c r="B7" s="310" t="s">
        <v>232</v>
      </c>
      <c r="C7" s="310"/>
      <c r="D7" s="274"/>
      <c r="E7" s="274"/>
      <c r="F7" s="311" t="s">
        <v>224</v>
      </c>
      <c r="G7" s="311"/>
      <c r="H7" s="311"/>
      <c r="I7" s="303">
        <v>43152</v>
      </c>
    </row>
    <row r="8" spans="1:9" x14ac:dyDescent="0.25">
      <c r="A8" s="274" t="s">
        <v>176</v>
      </c>
      <c r="B8" s="314" t="s">
        <v>233</v>
      </c>
      <c r="C8" s="314"/>
      <c r="D8" s="274"/>
      <c r="E8" s="274"/>
      <c r="F8" s="311" t="s">
        <v>225</v>
      </c>
      <c r="G8" s="311"/>
      <c r="H8" s="311"/>
      <c r="I8" s="275" t="s">
        <v>234</v>
      </c>
    </row>
    <row r="9" spans="1:9" x14ac:dyDescent="0.25">
      <c r="A9" s="274"/>
      <c r="B9" s="274"/>
      <c r="C9" s="274"/>
      <c r="D9" s="274"/>
      <c r="E9" s="274"/>
      <c r="F9" s="274"/>
      <c r="G9" s="274"/>
      <c r="H9" s="274"/>
      <c r="I9" s="274"/>
    </row>
    <row r="10" spans="1:9" ht="21.75" customHeight="1" x14ac:dyDescent="0.25">
      <c r="A10" s="315" t="s">
        <v>177</v>
      </c>
      <c r="B10" s="316"/>
      <c r="C10" s="316"/>
      <c r="D10" s="316"/>
      <c r="E10" s="316"/>
      <c r="F10" s="316"/>
      <c r="G10" s="316"/>
      <c r="H10" s="316"/>
      <c r="I10" s="317"/>
    </row>
    <row r="11" spans="1:9" ht="15" x14ac:dyDescent="0.25">
      <c r="A11" s="318" t="s">
        <v>178</v>
      </c>
      <c r="B11" s="319"/>
      <c r="C11" s="319"/>
      <c r="D11" s="319"/>
      <c r="E11" s="319"/>
      <c r="F11" s="319"/>
      <c r="G11" s="319"/>
      <c r="H11" s="319"/>
      <c r="I11" s="320"/>
    </row>
    <row r="12" spans="1:9" x14ac:dyDescent="0.25">
      <c r="A12" s="277"/>
      <c r="B12" s="278"/>
      <c r="C12" s="278"/>
      <c r="D12" s="278"/>
      <c r="E12" s="278"/>
      <c r="F12" s="278"/>
      <c r="G12" s="278"/>
      <c r="H12" s="278"/>
      <c r="I12" s="279"/>
    </row>
    <row r="13" spans="1:9" x14ac:dyDescent="0.25">
      <c r="A13" s="280" t="s">
        <v>179</v>
      </c>
      <c r="B13" s="278"/>
      <c r="C13" s="278"/>
      <c r="D13" s="278"/>
      <c r="E13" s="278"/>
      <c r="F13" s="278"/>
      <c r="G13" s="278"/>
      <c r="H13" s="278"/>
      <c r="I13" s="279"/>
    </row>
    <row r="14" spans="1:9" x14ac:dyDescent="0.25">
      <c r="A14" s="281" t="s">
        <v>180</v>
      </c>
      <c r="B14" s="310" t="s">
        <v>230</v>
      </c>
      <c r="C14" s="310"/>
      <c r="D14" s="278"/>
      <c r="E14" s="282" t="s">
        <v>181</v>
      </c>
      <c r="F14" s="275">
        <v>1543</v>
      </c>
      <c r="G14" s="278"/>
      <c r="H14" s="278"/>
      <c r="I14" s="279"/>
    </row>
    <row r="15" spans="1:9" x14ac:dyDescent="0.25">
      <c r="A15" s="283"/>
      <c r="B15" s="284"/>
      <c r="C15" s="284"/>
      <c r="D15" s="284"/>
      <c r="E15" s="284"/>
      <c r="F15" s="284"/>
      <c r="G15" s="284"/>
      <c r="H15" s="284"/>
      <c r="I15" s="285"/>
    </row>
    <row r="16" spans="1:9" x14ac:dyDescent="0.25">
      <c r="A16" s="286" t="s">
        <v>182</v>
      </c>
      <c r="B16" s="284"/>
      <c r="C16" s="284"/>
      <c r="D16" s="284"/>
      <c r="E16" s="284"/>
      <c r="F16" s="284"/>
      <c r="G16" s="284"/>
      <c r="H16" s="284"/>
      <c r="I16" s="287" t="s">
        <v>183</v>
      </c>
    </row>
    <row r="17" spans="1:9" ht="21.75" customHeight="1" x14ac:dyDescent="0.25">
      <c r="A17" s="283"/>
      <c r="B17" s="312" t="s">
        <v>184</v>
      </c>
      <c r="C17" s="312"/>
      <c r="D17" s="312"/>
      <c r="E17" s="312"/>
      <c r="F17" s="312"/>
      <c r="G17" s="312"/>
      <c r="H17" s="312"/>
      <c r="I17" s="285"/>
    </row>
    <row r="18" spans="1:9" ht="34.5" customHeight="1" x14ac:dyDescent="0.25">
      <c r="A18" s="283"/>
      <c r="B18" s="313" t="s">
        <v>185</v>
      </c>
      <c r="C18" s="313"/>
      <c r="D18" s="313"/>
      <c r="E18" s="313"/>
      <c r="F18" s="313"/>
      <c r="G18" s="313"/>
      <c r="H18" s="313"/>
      <c r="I18" s="285"/>
    </row>
    <row r="19" spans="1:9" ht="21.75" customHeight="1" x14ac:dyDescent="0.25">
      <c r="A19" s="283"/>
      <c r="B19" s="312" t="s">
        <v>186</v>
      </c>
      <c r="C19" s="312"/>
      <c r="D19" s="312"/>
      <c r="E19" s="312"/>
      <c r="F19" s="312"/>
      <c r="G19" s="312"/>
      <c r="H19" s="312"/>
      <c r="I19" s="285"/>
    </row>
    <row r="20" spans="1:9" ht="13.5" customHeight="1" x14ac:dyDescent="0.25">
      <c r="A20" s="283"/>
      <c r="B20" s="284"/>
      <c r="C20" s="284"/>
      <c r="D20" s="284"/>
      <c r="E20" s="284"/>
      <c r="F20" s="284"/>
      <c r="G20" s="284"/>
      <c r="H20" s="284"/>
      <c r="I20" s="285"/>
    </row>
    <row r="21" spans="1:9" ht="33" x14ac:dyDescent="0.25">
      <c r="A21" s="283"/>
      <c r="B21" s="284"/>
      <c r="C21" s="284"/>
      <c r="D21" s="284"/>
      <c r="E21" s="284"/>
      <c r="F21" s="288" t="s">
        <v>187</v>
      </c>
      <c r="G21" s="288"/>
      <c r="H21" s="289" t="s">
        <v>222</v>
      </c>
      <c r="I21" s="287" t="s">
        <v>183</v>
      </c>
    </row>
    <row r="22" spans="1:9" x14ac:dyDescent="0.25">
      <c r="A22" s="286" t="s">
        <v>188</v>
      </c>
      <c r="B22" s="284"/>
      <c r="C22" s="284"/>
      <c r="D22" s="284"/>
      <c r="E22" s="284"/>
      <c r="F22" s="284"/>
      <c r="G22" s="284"/>
      <c r="H22" s="284"/>
      <c r="I22" s="285"/>
    </row>
    <row r="23" spans="1:9" ht="21.75" customHeight="1" x14ac:dyDescent="0.25">
      <c r="A23" s="322" t="s">
        <v>189</v>
      </c>
      <c r="B23" s="312"/>
      <c r="C23" s="312"/>
      <c r="D23" s="312"/>
      <c r="E23" s="312"/>
      <c r="F23" s="312"/>
      <c r="G23" s="290"/>
      <c r="H23" s="291">
        <v>103</v>
      </c>
      <c r="I23" s="285"/>
    </row>
    <row r="24" spans="1:9" ht="21.75" customHeight="1" x14ac:dyDescent="0.25">
      <c r="A24" s="322" t="s">
        <v>190</v>
      </c>
      <c r="B24" s="312"/>
      <c r="C24" s="312"/>
      <c r="D24" s="312"/>
      <c r="E24" s="312"/>
      <c r="F24" s="312"/>
      <c r="G24" s="290"/>
      <c r="H24" s="292">
        <v>3.1</v>
      </c>
      <c r="I24" s="285"/>
    </row>
    <row r="25" spans="1:9" ht="21.75" customHeight="1" x14ac:dyDescent="0.25">
      <c r="A25" s="322" t="s">
        <v>191</v>
      </c>
      <c r="B25" s="312"/>
      <c r="C25" s="312"/>
      <c r="D25" s="312"/>
      <c r="E25" s="312"/>
      <c r="F25" s="312"/>
      <c r="G25" s="290"/>
      <c r="H25" s="292" t="s">
        <v>231</v>
      </c>
      <c r="I25" s="285"/>
    </row>
    <row r="26" spans="1:9" ht="21" customHeight="1" x14ac:dyDescent="0.3">
      <c r="A26" s="322" t="s">
        <v>192</v>
      </c>
      <c r="B26" s="312"/>
      <c r="C26" s="312"/>
      <c r="D26" s="312"/>
      <c r="E26" s="312"/>
      <c r="F26" s="312"/>
      <c r="G26" s="290"/>
      <c r="H26" s="292" t="s">
        <v>231</v>
      </c>
      <c r="I26" s="293"/>
    </row>
    <row r="27" spans="1:9" ht="20.25" customHeight="1" x14ac:dyDescent="0.25">
      <c r="A27" s="324" t="s">
        <v>193</v>
      </c>
      <c r="B27" s="325"/>
      <c r="C27" s="325"/>
      <c r="D27" s="325"/>
      <c r="E27" s="325"/>
      <c r="F27" s="325"/>
      <c r="G27" s="290"/>
      <c r="H27" s="284"/>
      <c r="I27" s="285"/>
    </row>
    <row r="28" spans="1:9" x14ac:dyDescent="0.25">
      <c r="A28" s="283"/>
      <c r="B28" s="284"/>
      <c r="C28" s="284"/>
      <c r="D28" s="284"/>
      <c r="E28" s="284"/>
      <c r="F28" s="284"/>
      <c r="G28" s="284"/>
      <c r="H28" s="284"/>
      <c r="I28" s="285"/>
    </row>
    <row r="29" spans="1:9" x14ac:dyDescent="0.25">
      <c r="A29" s="286" t="s">
        <v>194</v>
      </c>
      <c r="B29" s="284"/>
      <c r="C29" s="284"/>
      <c r="D29" s="284"/>
      <c r="E29" s="284"/>
      <c r="F29" s="284"/>
      <c r="G29" s="284"/>
      <c r="H29" s="284"/>
      <c r="I29" s="285"/>
    </row>
    <row r="30" spans="1:9" ht="21" customHeight="1" x14ac:dyDescent="0.25">
      <c r="A30" s="322" t="s">
        <v>195</v>
      </c>
      <c r="B30" s="312"/>
      <c r="C30" s="312"/>
      <c r="D30" s="312"/>
      <c r="E30" s="312"/>
      <c r="F30" s="312"/>
      <c r="G30" s="284"/>
      <c r="H30" s="284"/>
      <c r="I30" s="285"/>
    </row>
    <row r="31" spans="1:9" ht="21" customHeight="1" x14ac:dyDescent="0.25">
      <c r="A31" s="283"/>
      <c r="B31" s="284"/>
      <c r="C31" s="284"/>
      <c r="D31" s="284"/>
      <c r="E31" s="284"/>
      <c r="F31" s="284"/>
      <c r="G31" s="284"/>
      <c r="H31" s="284"/>
      <c r="I31" s="285"/>
    </row>
    <row r="32" spans="1:9" ht="21" customHeight="1" x14ac:dyDescent="0.25">
      <c r="A32" s="283"/>
      <c r="B32" s="284"/>
      <c r="C32" s="284"/>
      <c r="D32" s="284"/>
      <c r="E32" s="284"/>
      <c r="F32" s="284"/>
      <c r="G32" s="284"/>
      <c r="H32" s="284"/>
      <c r="I32" s="285"/>
    </row>
    <row r="33" spans="1:9" ht="21" customHeight="1" x14ac:dyDescent="0.25">
      <c r="A33" s="326" t="s">
        <v>196</v>
      </c>
      <c r="B33" s="327"/>
      <c r="C33" s="327"/>
      <c r="D33" s="327"/>
      <c r="E33" s="327"/>
      <c r="F33" s="327"/>
      <c r="G33" s="294"/>
      <c r="H33" s="294"/>
      <c r="I33" s="295"/>
    </row>
    <row r="34" spans="1:9" ht="21" customHeight="1" x14ac:dyDescent="0.25">
      <c r="A34" s="296"/>
      <c r="B34" s="296"/>
      <c r="C34" s="296"/>
      <c r="D34" s="296"/>
      <c r="E34" s="296"/>
      <c r="F34" s="296"/>
    </row>
    <row r="36" spans="1:9" x14ac:dyDescent="0.25">
      <c r="A36" s="298" t="s">
        <v>197</v>
      </c>
      <c r="C36" s="323" t="s">
        <v>248</v>
      </c>
      <c r="D36" s="323"/>
      <c r="E36" s="284"/>
      <c r="G36" s="299" t="s">
        <v>198</v>
      </c>
      <c r="H36" s="321" t="s">
        <v>249</v>
      </c>
      <c r="I36" s="321"/>
    </row>
  </sheetData>
  <mergeCells count="22">
    <mergeCell ref="H36:I36"/>
    <mergeCell ref="A30:F30"/>
    <mergeCell ref="C36:D36"/>
    <mergeCell ref="A23:F23"/>
    <mergeCell ref="A24:F24"/>
    <mergeCell ref="A25:F25"/>
    <mergeCell ref="A26:F26"/>
    <mergeCell ref="A27:F27"/>
    <mergeCell ref="A33:F33"/>
    <mergeCell ref="B19:H19"/>
    <mergeCell ref="B17:H17"/>
    <mergeCell ref="B18:H18"/>
    <mergeCell ref="B14:C14"/>
    <mergeCell ref="B8:C8"/>
    <mergeCell ref="F8:H8"/>
    <mergeCell ref="A10:I10"/>
    <mergeCell ref="A11:I11"/>
    <mergeCell ref="A1:I1"/>
    <mergeCell ref="B4:C4"/>
    <mergeCell ref="F4:H4"/>
    <mergeCell ref="B7:C7"/>
    <mergeCell ref="F7:H7"/>
  </mergeCells>
  <phoneticPr fontId="78" type="noConversion"/>
  <pageMargins left="0.25" right="0.25" top="0.75" bottom="0.75" header="0.3" footer="0.3"/>
  <pageSetup orientation="portrait" r:id="rId1"/>
  <drawing r:id="rId2"/>
  <legacyDrawing r:id="rId3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8193" r:id="rId4" name="Check Box 1">
              <controlPr defaultSize="0" autoFill="0" autoLine="0" autoPict="0">
                <anchor moveWithCells="1">
                  <from>
                    <xdr:col>8</xdr:col>
                    <xdr:colOff>38100</xdr:colOff>
                    <xdr:row>16</xdr:row>
                    <xdr:rowOff>38100</xdr:rowOff>
                  </from>
                  <to>
                    <xdr:col>8</xdr:col>
                    <xdr:colOff>342900</xdr:colOff>
                    <xdr:row>16</xdr:row>
                    <xdr:rowOff>257175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8194" r:id="rId5" name="Check Box 2">
              <controlPr defaultSize="0" autoFill="0" autoLine="0" autoPict="0">
                <anchor moveWithCells="1">
                  <from>
                    <xdr:col>8</xdr:col>
                    <xdr:colOff>657225</xdr:colOff>
                    <xdr:row>16</xdr:row>
                    <xdr:rowOff>38100</xdr:rowOff>
                  </from>
                  <to>
                    <xdr:col>8</xdr:col>
                    <xdr:colOff>962025</xdr:colOff>
                    <xdr:row>16</xdr:row>
                    <xdr:rowOff>257175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8195" r:id="rId6" name="Check Box 3">
              <controlPr defaultSize="0" autoFill="0" autoLine="0" autoPict="0">
                <anchor moveWithCells="1">
                  <from>
                    <xdr:col>8</xdr:col>
                    <xdr:colOff>38100</xdr:colOff>
                    <xdr:row>17</xdr:row>
                    <xdr:rowOff>38100</xdr:rowOff>
                  </from>
                  <to>
                    <xdr:col>8</xdr:col>
                    <xdr:colOff>342900</xdr:colOff>
                    <xdr:row>17</xdr:row>
                    <xdr:rowOff>257175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8196" r:id="rId7" name="Check Box 4">
              <controlPr defaultSize="0" autoFill="0" autoLine="0" autoPict="0">
                <anchor moveWithCells="1">
                  <from>
                    <xdr:col>8</xdr:col>
                    <xdr:colOff>657225</xdr:colOff>
                    <xdr:row>17</xdr:row>
                    <xdr:rowOff>38100</xdr:rowOff>
                  </from>
                  <to>
                    <xdr:col>8</xdr:col>
                    <xdr:colOff>962025</xdr:colOff>
                    <xdr:row>17</xdr:row>
                    <xdr:rowOff>257175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8197" r:id="rId8" name="Check Box 5">
              <controlPr defaultSize="0" autoFill="0" autoLine="0" autoPict="0">
                <anchor moveWithCells="1">
                  <from>
                    <xdr:col>8</xdr:col>
                    <xdr:colOff>38100</xdr:colOff>
                    <xdr:row>18</xdr:row>
                    <xdr:rowOff>38100</xdr:rowOff>
                  </from>
                  <to>
                    <xdr:col>8</xdr:col>
                    <xdr:colOff>342900</xdr:colOff>
                    <xdr:row>18</xdr:row>
                    <xdr:rowOff>257175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8198" r:id="rId9" name="Check Box 6">
              <controlPr defaultSize="0" autoFill="0" autoLine="0" autoPict="0">
                <anchor moveWithCells="1">
                  <from>
                    <xdr:col>8</xdr:col>
                    <xdr:colOff>657225</xdr:colOff>
                    <xdr:row>18</xdr:row>
                    <xdr:rowOff>38100</xdr:rowOff>
                  </from>
                  <to>
                    <xdr:col>8</xdr:col>
                    <xdr:colOff>962025</xdr:colOff>
                    <xdr:row>18</xdr:row>
                    <xdr:rowOff>257175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8199" r:id="rId10" name="Check Box 7">
              <controlPr defaultSize="0" autoFill="0" autoLine="0" autoPict="0">
                <anchor moveWithCells="1">
                  <from>
                    <xdr:col>8</xdr:col>
                    <xdr:colOff>38100</xdr:colOff>
                    <xdr:row>22</xdr:row>
                    <xdr:rowOff>38100</xdr:rowOff>
                  </from>
                  <to>
                    <xdr:col>8</xdr:col>
                    <xdr:colOff>342900</xdr:colOff>
                    <xdr:row>22</xdr:row>
                    <xdr:rowOff>257175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8200" r:id="rId11" name="Check Box 8">
              <controlPr defaultSize="0" autoFill="0" autoLine="0" autoPict="0">
                <anchor moveWithCells="1">
                  <from>
                    <xdr:col>8</xdr:col>
                    <xdr:colOff>657225</xdr:colOff>
                    <xdr:row>22</xdr:row>
                    <xdr:rowOff>38100</xdr:rowOff>
                  </from>
                  <to>
                    <xdr:col>8</xdr:col>
                    <xdr:colOff>962025</xdr:colOff>
                    <xdr:row>22</xdr:row>
                    <xdr:rowOff>257175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8201" r:id="rId12" name="Check Box 9">
              <controlPr defaultSize="0" autoFill="0" autoLine="0" autoPict="0">
                <anchor moveWithCells="1">
                  <from>
                    <xdr:col>8</xdr:col>
                    <xdr:colOff>38100</xdr:colOff>
                    <xdr:row>23</xdr:row>
                    <xdr:rowOff>38100</xdr:rowOff>
                  </from>
                  <to>
                    <xdr:col>8</xdr:col>
                    <xdr:colOff>342900</xdr:colOff>
                    <xdr:row>23</xdr:row>
                    <xdr:rowOff>257175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8202" r:id="rId13" name="Check Box 10">
              <controlPr defaultSize="0" autoFill="0" autoLine="0" autoPict="0">
                <anchor moveWithCells="1">
                  <from>
                    <xdr:col>8</xdr:col>
                    <xdr:colOff>657225</xdr:colOff>
                    <xdr:row>23</xdr:row>
                    <xdr:rowOff>38100</xdr:rowOff>
                  </from>
                  <to>
                    <xdr:col>8</xdr:col>
                    <xdr:colOff>962025</xdr:colOff>
                    <xdr:row>23</xdr:row>
                    <xdr:rowOff>257175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8203" r:id="rId14" name="Check Box 11">
              <controlPr defaultSize="0" autoFill="0" autoLine="0" autoPict="0">
                <anchor moveWithCells="1">
                  <from>
                    <xdr:col>8</xdr:col>
                    <xdr:colOff>38100</xdr:colOff>
                    <xdr:row>24</xdr:row>
                    <xdr:rowOff>38100</xdr:rowOff>
                  </from>
                  <to>
                    <xdr:col>8</xdr:col>
                    <xdr:colOff>342900</xdr:colOff>
                    <xdr:row>24</xdr:row>
                    <xdr:rowOff>257175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8204" r:id="rId15" name="Check Box 12">
              <controlPr defaultSize="0" autoFill="0" autoLine="0" autoPict="0">
                <anchor moveWithCells="1">
                  <from>
                    <xdr:col>8</xdr:col>
                    <xdr:colOff>657225</xdr:colOff>
                    <xdr:row>24</xdr:row>
                    <xdr:rowOff>38100</xdr:rowOff>
                  </from>
                  <to>
                    <xdr:col>8</xdr:col>
                    <xdr:colOff>962025</xdr:colOff>
                    <xdr:row>24</xdr:row>
                    <xdr:rowOff>257175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8205" r:id="rId16" name="Check Box 13">
              <controlPr defaultSize="0" autoFill="0" autoLine="0" autoPict="0">
                <anchor moveWithCells="1">
                  <from>
                    <xdr:col>8</xdr:col>
                    <xdr:colOff>38100</xdr:colOff>
                    <xdr:row>25</xdr:row>
                    <xdr:rowOff>38100</xdr:rowOff>
                  </from>
                  <to>
                    <xdr:col>8</xdr:col>
                    <xdr:colOff>342900</xdr:colOff>
                    <xdr:row>25</xdr:row>
                    <xdr:rowOff>257175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8206" r:id="rId17" name="Check Box 14">
              <controlPr defaultSize="0" autoFill="0" autoLine="0" autoPict="0">
                <anchor moveWithCells="1">
                  <from>
                    <xdr:col>8</xdr:col>
                    <xdr:colOff>657225</xdr:colOff>
                    <xdr:row>25</xdr:row>
                    <xdr:rowOff>38100</xdr:rowOff>
                  </from>
                  <to>
                    <xdr:col>8</xdr:col>
                    <xdr:colOff>962025</xdr:colOff>
                    <xdr:row>25</xdr:row>
                    <xdr:rowOff>257175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8207" r:id="rId18" name="Check Box 15">
              <controlPr defaultSize="0" autoFill="0" autoLine="0" autoPict="0">
                <anchor moveWithCells="1">
                  <from>
                    <xdr:col>7</xdr:col>
                    <xdr:colOff>38100</xdr:colOff>
                    <xdr:row>29</xdr:row>
                    <xdr:rowOff>38100</xdr:rowOff>
                  </from>
                  <to>
                    <xdr:col>8</xdr:col>
                    <xdr:colOff>180975</xdr:colOff>
                    <xdr:row>29</xdr:row>
                    <xdr:rowOff>209550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8208" r:id="rId19" name="Check Box 16">
              <controlPr defaultSize="0" autoFill="0" autoLine="0" autoPict="0">
                <anchor moveWithCells="1">
                  <from>
                    <xdr:col>7</xdr:col>
                    <xdr:colOff>38100</xdr:colOff>
                    <xdr:row>30</xdr:row>
                    <xdr:rowOff>38100</xdr:rowOff>
                  </from>
                  <to>
                    <xdr:col>8</xdr:col>
                    <xdr:colOff>180975</xdr:colOff>
                    <xdr:row>30</xdr:row>
                    <xdr:rowOff>209550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8209" r:id="rId20" name="Check Box 17">
              <controlPr defaultSize="0" autoFill="0" autoLine="0" autoPict="0">
                <anchor moveWithCells="1">
                  <from>
                    <xdr:col>7</xdr:col>
                    <xdr:colOff>38100</xdr:colOff>
                    <xdr:row>31</xdr:row>
                    <xdr:rowOff>38100</xdr:rowOff>
                  </from>
                  <to>
                    <xdr:col>8</xdr:col>
                    <xdr:colOff>180975</xdr:colOff>
                    <xdr:row>31</xdr:row>
                    <xdr:rowOff>209550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8210" r:id="rId21" name="Check Box 18">
              <controlPr defaultSize="0" autoFill="0" autoLine="0" autoPict="0">
                <anchor moveWithCells="1">
                  <from>
                    <xdr:col>7</xdr:col>
                    <xdr:colOff>38100</xdr:colOff>
                    <xdr:row>32</xdr:row>
                    <xdr:rowOff>38100</xdr:rowOff>
                  </from>
                  <to>
                    <xdr:col>7</xdr:col>
                    <xdr:colOff>342900</xdr:colOff>
                    <xdr:row>32</xdr:row>
                    <xdr:rowOff>257175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8211" r:id="rId22" name="Check Box 19">
              <controlPr defaultSize="0" autoFill="0" autoLine="0" autoPict="0">
                <anchor moveWithCells="1">
                  <from>
                    <xdr:col>7</xdr:col>
                    <xdr:colOff>657225</xdr:colOff>
                    <xdr:row>32</xdr:row>
                    <xdr:rowOff>38100</xdr:rowOff>
                  </from>
                  <to>
                    <xdr:col>7</xdr:col>
                    <xdr:colOff>962025</xdr:colOff>
                    <xdr:row>32</xdr:row>
                    <xdr:rowOff>257175</xdr:rowOff>
                  </to>
                </anchor>
              </controlPr>
            </control>
          </mc:Choice>
        </mc:AlternateContent>
      </controls>
    </mc:Choice>
  </mc:AlternateContent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>
    <pageSetUpPr fitToPage="1"/>
  </sheetPr>
  <dimension ref="A1:Q65"/>
  <sheetViews>
    <sheetView workbookViewId="0">
      <selection activeCell="B22" sqref="B22:D23"/>
    </sheetView>
  </sheetViews>
  <sheetFormatPr defaultRowHeight="12.75" x14ac:dyDescent="0.2"/>
  <cols>
    <col min="1" max="1" width="25.42578125" style="24" customWidth="1"/>
    <col min="2" max="2" width="13.85546875" style="24" customWidth="1"/>
    <col min="3" max="3" width="13.42578125" style="24" customWidth="1"/>
    <col min="4" max="4" width="13.140625" style="24" customWidth="1"/>
    <col min="5" max="5" width="10.7109375" style="24" customWidth="1"/>
    <col min="6" max="6" width="19.28515625" style="24" customWidth="1"/>
    <col min="7" max="7" width="9.140625" style="24"/>
    <col min="8" max="8" width="13" style="24" customWidth="1"/>
    <col min="9" max="16" width="9.140625" style="24"/>
    <col min="17" max="17" width="9.85546875" style="24" customWidth="1"/>
    <col min="18" max="16384" width="9.140625" style="24"/>
  </cols>
  <sheetData>
    <row r="1" spans="1:17" ht="14.25" x14ac:dyDescent="0.2">
      <c r="A1" s="344" t="s">
        <v>113</v>
      </c>
      <c r="B1" s="345"/>
      <c r="C1" s="345"/>
      <c r="D1" s="345"/>
      <c r="E1" s="345"/>
      <c r="F1" s="345"/>
    </row>
    <row r="2" spans="1:17" ht="18.75" customHeight="1" x14ac:dyDescent="0.2">
      <c r="A2" s="344" t="s">
        <v>112</v>
      </c>
      <c r="B2" s="344"/>
      <c r="C2" s="344"/>
      <c r="D2" s="344"/>
      <c r="E2" s="344"/>
      <c r="F2" s="344"/>
    </row>
    <row r="3" spans="1:17" ht="15" customHeight="1" x14ac:dyDescent="0.2">
      <c r="A3" s="25" t="s">
        <v>44</v>
      </c>
      <c r="B3" s="126">
        <v>38</v>
      </c>
      <c r="C3" s="26"/>
      <c r="D3" s="26" t="s">
        <v>45</v>
      </c>
      <c r="E3" s="342" t="s">
        <v>46</v>
      </c>
      <c r="F3" s="342"/>
    </row>
    <row r="4" spans="1:17" ht="15" customHeight="1" thickBot="1" x14ac:dyDescent="0.25">
      <c r="A4" s="27" t="s">
        <v>47</v>
      </c>
      <c r="B4" s="346">
        <v>43171.395833333336</v>
      </c>
      <c r="C4" s="346"/>
      <c r="D4" s="27" t="s">
        <v>109</v>
      </c>
      <c r="E4" s="343" t="s">
        <v>226</v>
      </c>
      <c r="F4" s="343"/>
    </row>
    <row r="5" spans="1:17" s="32" customFormat="1" ht="15" customHeight="1" thickTop="1" x14ac:dyDescent="0.2">
      <c r="A5" s="28" t="s">
        <v>48</v>
      </c>
      <c r="B5" s="29"/>
      <c r="C5" s="30"/>
      <c r="D5" s="31" t="s">
        <v>49</v>
      </c>
      <c r="E5" s="29" t="s">
        <v>50</v>
      </c>
      <c r="F5" s="304">
        <v>42392</v>
      </c>
      <c r="H5" s="32" t="s">
        <v>51</v>
      </c>
    </row>
    <row r="6" spans="1:17" s="32" customFormat="1" ht="15" customHeight="1" thickBot="1" x14ac:dyDescent="0.25">
      <c r="A6" s="33" t="s">
        <v>52</v>
      </c>
      <c r="B6" s="113">
        <f>4.631*(10^5)</f>
        <v>463100</v>
      </c>
      <c r="C6" s="34" t="s">
        <v>53</v>
      </c>
      <c r="D6" s="35"/>
      <c r="E6" s="114">
        <f>$B$6*(10^6)/(10^9)</f>
        <v>463.1</v>
      </c>
      <c r="F6" s="36" t="s">
        <v>54</v>
      </c>
      <c r="H6" s="32" t="s">
        <v>51</v>
      </c>
    </row>
    <row r="7" spans="1:17" ht="15" customHeight="1" thickTop="1" x14ac:dyDescent="0.2">
      <c r="A7" s="37" t="s">
        <v>55</v>
      </c>
      <c r="B7" s="38"/>
      <c r="D7" s="39"/>
      <c r="E7" s="39"/>
      <c r="F7" s="40"/>
    </row>
    <row r="8" spans="1:17" ht="15" customHeight="1" x14ac:dyDescent="0.25">
      <c r="A8" s="37" t="s">
        <v>56</v>
      </c>
      <c r="B8" s="41" t="s">
        <v>51</v>
      </c>
      <c r="C8" s="118">
        <v>1</v>
      </c>
      <c r="D8" s="41" t="s">
        <v>57</v>
      </c>
      <c r="E8" s="39" t="s">
        <v>51</v>
      </c>
      <c r="F8" s="40"/>
    </row>
    <row r="9" spans="1:17" ht="15" customHeight="1" thickBot="1" x14ac:dyDescent="0.25">
      <c r="A9" s="42" t="s">
        <v>58</v>
      </c>
      <c r="B9" s="43"/>
      <c r="C9" s="44"/>
      <c r="D9" s="43"/>
      <c r="E9" s="43"/>
      <c r="F9" s="45"/>
    </row>
    <row r="10" spans="1:17" ht="13.5" thickTop="1" x14ac:dyDescent="0.2">
      <c r="A10" s="46" t="s">
        <v>59</v>
      </c>
      <c r="B10" s="47"/>
      <c r="C10" s="47"/>
      <c r="D10" s="47"/>
      <c r="E10" s="47"/>
      <c r="F10" s="40"/>
      <c r="I10" s="140" t="s">
        <v>110</v>
      </c>
      <c r="J10" s="140"/>
      <c r="K10" s="140"/>
    </row>
    <row r="11" spans="1:17" ht="14.25" thickBot="1" x14ac:dyDescent="0.3">
      <c r="A11" s="48" t="s">
        <v>60</v>
      </c>
      <c r="B11" s="127">
        <v>22.9</v>
      </c>
      <c r="C11" s="49"/>
      <c r="D11" s="127">
        <v>757.7</v>
      </c>
      <c r="E11" s="50" t="s">
        <v>61</v>
      </c>
      <c r="F11" s="111">
        <f>IF(B11="","",((273.15+$B$11)/295.15)*760/$D$11)</f>
        <v>1.0060940552928719</v>
      </c>
    </row>
    <row r="12" spans="1:17" ht="16.5" customHeight="1" thickTop="1" x14ac:dyDescent="0.2">
      <c r="A12" s="51" t="s">
        <v>51</v>
      </c>
      <c r="B12" s="347"/>
      <c r="C12" s="348"/>
      <c r="D12" s="47" t="s">
        <v>62</v>
      </c>
      <c r="E12" s="47"/>
      <c r="F12" s="52"/>
      <c r="I12" s="341" t="s">
        <v>63</v>
      </c>
      <c r="J12" s="341"/>
      <c r="K12" s="341"/>
      <c r="L12" s="341"/>
      <c r="M12" s="341"/>
      <c r="N12" s="341"/>
      <c r="O12" s="341"/>
      <c r="Q12" s="136" t="s">
        <v>64</v>
      </c>
    </row>
    <row r="13" spans="1:17" s="58" customFormat="1" ht="21" customHeight="1" x14ac:dyDescent="0.2">
      <c r="A13" s="53" t="s">
        <v>65</v>
      </c>
      <c r="B13" s="54"/>
      <c r="C13" s="55" t="s">
        <v>66</v>
      </c>
      <c r="D13" s="54" t="s">
        <v>67</v>
      </c>
      <c r="E13" s="56" t="s">
        <v>66</v>
      </c>
      <c r="F13" s="57"/>
      <c r="I13" s="136">
        <v>249</v>
      </c>
      <c r="J13" s="136">
        <v>250</v>
      </c>
      <c r="K13" s="136">
        <v>251</v>
      </c>
      <c r="L13" s="136">
        <v>252</v>
      </c>
      <c r="M13" s="136">
        <v>253</v>
      </c>
      <c r="N13" s="136">
        <v>254</v>
      </c>
      <c r="O13" s="136">
        <v>255</v>
      </c>
      <c r="Q13" s="136">
        <v>253</v>
      </c>
    </row>
    <row r="14" spans="1:17" ht="18" customHeight="1" x14ac:dyDescent="0.2">
      <c r="A14" s="59" t="s">
        <v>68</v>
      </c>
      <c r="B14" s="110" t="s">
        <v>51</v>
      </c>
      <c r="D14" s="330">
        <v>250</v>
      </c>
      <c r="E14" s="138">
        <v>36.99</v>
      </c>
      <c r="F14" s="40"/>
      <c r="I14" s="138">
        <v>36.985999999999997</v>
      </c>
      <c r="J14" s="138">
        <v>36.99</v>
      </c>
      <c r="K14" s="138">
        <v>36.984000000000002</v>
      </c>
      <c r="L14" s="138">
        <v>36.978000000000002</v>
      </c>
      <c r="M14" s="138">
        <v>36.968000000000004</v>
      </c>
      <c r="N14" s="138">
        <v>36.947000000000003</v>
      </c>
      <c r="O14" s="138">
        <v>36.933</v>
      </c>
      <c r="Q14" s="138"/>
    </row>
    <row r="15" spans="1:17" ht="15.75" customHeight="1" x14ac:dyDescent="0.2">
      <c r="A15" s="128">
        <v>0</v>
      </c>
      <c r="B15" s="110"/>
      <c r="C15" s="60"/>
      <c r="D15" s="331"/>
      <c r="E15" s="138">
        <v>36.988</v>
      </c>
      <c r="F15" s="40"/>
      <c r="I15" s="138">
        <v>36.984000000000002</v>
      </c>
      <c r="J15" s="138">
        <v>36.988</v>
      </c>
      <c r="K15" s="138">
        <v>36.985999999999997</v>
      </c>
      <c r="L15" s="138">
        <v>36.979999999999997</v>
      </c>
      <c r="M15" s="138">
        <v>36.966999999999999</v>
      </c>
      <c r="N15" s="138">
        <v>36.945999999999998</v>
      </c>
      <c r="O15" s="139">
        <v>36.930999999999997</v>
      </c>
      <c r="Q15" s="138"/>
    </row>
    <row r="16" spans="1:17" ht="17.25" customHeight="1" x14ac:dyDescent="0.2">
      <c r="A16" s="59" t="s">
        <v>69</v>
      </c>
      <c r="B16" s="110"/>
      <c r="C16" s="60"/>
      <c r="D16" s="331"/>
      <c r="E16" s="138">
        <v>36.988999999999997</v>
      </c>
      <c r="F16" s="40"/>
      <c r="I16" s="138">
        <v>36.988</v>
      </c>
      <c r="J16" s="138">
        <v>36.988999999999997</v>
      </c>
      <c r="K16" s="138">
        <v>36.984000000000002</v>
      </c>
      <c r="L16" s="138">
        <v>36.978000000000002</v>
      </c>
      <c r="M16" s="138">
        <v>36.968000000000004</v>
      </c>
      <c r="N16" s="138">
        <v>36.945</v>
      </c>
      <c r="O16" s="138">
        <v>36.935000000000002</v>
      </c>
      <c r="Q16" s="138"/>
    </row>
    <row r="17" spans="1:17" ht="16.5" customHeight="1" x14ac:dyDescent="0.2">
      <c r="A17" s="128">
        <v>0</v>
      </c>
      <c r="B17" s="110"/>
      <c r="C17" s="60"/>
      <c r="D17" s="331"/>
      <c r="E17" s="138">
        <v>36.991999999999997</v>
      </c>
      <c r="F17" s="40"/>
      <c r="I17" s="138">
        <v>36.984999999999999</v>
      </c>
      <c r="J17" s="138">
        <v>36.991999999999997</v>
      </c>
      <c r="K17" s="138">
        <v>36.984999999999999</v>
      </c>
      <c r="L17" s="138">
        <v>36.976999999999997</v>
      </c>
      <c r="M17" s="138">
        <v>36.969000000000001</v>
      </c>
      <c r="N17" s="138">
        <v>36.947000000000003</v>
      </c>
      <c r="O17" s="138">
        <v>36.929000000000002</v>
      </c>
      <c r="Q17" s="138"/>
    </row>
    <row r="18" spans="1:17" ht="15" customHeight="1" x14ac:dyDescent="0.2">
      <c r="A18" s="61" t="s">
        <v>70</v>
      </c>
      <c r="B18" s="110"/>
      <c r="C18" s="60"/>
      <c r="D18" s="331"/>
      <c r="E18" s="129"/>
      <c r="F18" s="40"/>
      <c r="I18" s="138"/>
      <c r="J18" s="138"/>
      <c r="K18" s="138">
        <v>36.984999999999999</v>
      </c>
      <c r="L18" s="138">
        <v>36.976999999999997</v>
      </c>
      <c r="M18" s="138">
        <v>36.965000000000003</v>
      </c>
      <c r="N18" s="138"/>
      <c r="O18" s="138"/>
      <c r="Q18" s="138"/>
    </row>
    <row r="19" spans="1:17" ht="15" customHeight="1" x14ac:dyDescent="0.2">
      <c r="A19" s="121">
        <f>(A15+A17)/2</f>
        <v>0</v>
      </c>
      <c r="B19" s="110"/>
      <c r="C19" s="60"/>
      <c r="D19" s="331"/>
      <c r="E19" s="129"/>
      <c r="F19" s="40"/>
      <c r="I19" s="138"/>
      <c r="J19" s="138"/>
      <c r="K19" s="138">
        <v>36.987000000000002</v>
      </c>
      <c r="L19" s="138">
        <v>36.979999999999997</v>
      </c>
      <c r="M19" s="138"/>
      <c r="N19" s="138"/>
      <c r="O19" s="138"/>
      <c r="Q19" s="138"/>
    </row>
    <row r="20" spans="1:17" ht="15" customHeight="1" thickBot="1" x14ac:dyDescent="0.3">
      <c r="A20" s="62"/>
      <c r="B20" s="63"/>
      <c r="C20" s="64" t="s">
        <v>51</v>
      </c>
      <c r="D20" s="112" t="s">
        <v>71</v>
      </c>
      <c r="E20" s="120">
        <f>IF(E14="","",AVERAGE(E14:E19))</f>
        <v>36.989750000000001</v>
      </c>
      <c r="F20" s="45"/>
      <c r="I20" s="138"/>
      <c r="J20" s="138"/>
      <c r="K20" s="138"/>
      <c r="L20" s="138"/>
      <c r="M20" s="138"/>
      <c r="N20" s="138"/>
      <c r="O20" s="138"/>
      <c r="Q20" s="138"/>
    </row>
    <row r="21" spans="1:17" ht="13.5" thickTop="1" x14ac:dyDescent="0.2">
      <c r="A21" s="65" t="s">
        <v>72</v>
      </c>
      <c r="F21" s="66" t="s">
        <v>71</v>
      </c>
      <c r="I21" s="138"/>
      <c r="J21" s="138"/>
      <c r="K21" s="138"/>
      <c r="L21" s="138"/>
      <c r="M21" s="138"/>
      <c r="N21" s="138"/>
      <c r="O21" s="138"/>
      <c r="Q21" s="138"/>
    </row>
    <row r="22" spans="1:17" ht="15" customHeight="1" x14ac:dyDescent="0.25">
      <c r="A22" s="67" t="s">
        <v>73</v>
      </c>
      <c r="B22" s="130">
        <v>-2699.7</v>
      </c>
      <c r="C22" s="130">
        <v>-2699.7</v>
      </c>
      <c r="D22" s="130">
        <v>-2699.6</v>
      </c>
      <c r="E22" s="68" t="s">
        <v>74</v>
      </c>
      <c r="F22" s="69">
        <f>IF(B22="","",AVERAGE(B22:D22))</f>
        <v>-2699.6666666666665</v>
      </c>
      <c r="I22" s="138"/>
      <c r="J22" s="138"/>
      <c r="K22" s="138"/>
      <c r="L22" s="138"/>
      <c r="M22" s="138"/>
      <c r="N22" s="138"/>
      <c r="O22" s="138"/>
      <c r="Q22" s="138"/>
    </row>
    <row r="23" spans="1:17" ht="15.75" customHeight="1" x14ac:dyDescent="0.25">
      <c r="A23" s="67" t="s">
        <v>75</v>
      </c>
      <c r="B23" s="130">
        <v>-2690.3</v>
      </c>
      <c r="C23" s="130">
        <v>-2693.2</v>
      </c>
      <c r="D23" s="130">
        <v>-2693.3</v>
      </c>
      <c r="E23" s="68" t="s">
        <v>74</v>
      </c>
      <c r="F23" s="69">
        <f>IF(B23="","",AVERAGE(B23:D23))</f>
        <v>-2692.2666666666669</v>
      </c>
      <c r="I23" s="138"/>
      <c r="J23" s="138"/>
      <c r="K23" s="138"/>
      <c r="L23" s="138"/>
      <c r="M23" s="138"/>
      <c r="N23" s="138"/>
      <c r="O23" s="138"/>
      <c r="Q23" s="138"/>
    </row>
    <row r="24" spans="1:17" ht="16.5" customHeight="1" thickBot="1" x14ac:dyDescent="0.25">
      <c r="A24" s="70" t="s">
        <v>76</v>
      </c>
      <c r="B24" s="44"/>
      <c r="C24" s="119">
        <f>IF(F22="","",1/((4/3)-((F22)/(3*F23))))</f>
        <v>1.0009170446377673</v>
      </c>
      <c r="D24" s="44" t="s">
        <v>51</v>
      </c>
      <c r="E24" s="44"/>
      <c r="F24" s="45"/>
      <c r="I24" s="138"/>
      <c r="J24" s="138"/>
      <c r="K24" s="138"/>
      <c r="L24" s="138"/>
      <c r="M24" s="138"/>
      <c r="N24" s="138"/>
      <c r="O24" s="138"/>
      <c r="Q24" s="138"/>
    </row>
    <row r="25" spans="1:17" ht="18" customHeight="1" thickTop="1" x14ac:dyDescent="0.3">
      <c r="A25" s="71" t="s">
        <v>77</v>
      </c>
      <c r="F25" s="40"/>
      <c r="I25" s="137">
        <f t="shared" ref="I25:O25" si="0">IF(I14="","",AVERAGE(I14:I24))</f>
        <v>36.985749999999996</v>
      </c>
      <c r="J25" s="137">
        <f t="shared" si="0"/>
        <v>36.989750000000001</v>
      </c>
      <c r="K25" s="137">
        <f t="shared" si="0"/>
        <v>36.985166666666672</v>
      </c>
      <c r="L25" s="137">
        <f t="shared" si="0"/>
        <v>36.978333333333332</v>
      </c>
      <c r="M25" s="137">
        <f t="shared" si="0"/>
        <v>36.967400000000005</v>
      </c>
      <c r="N25" s="137">
        <f t="shared" si="0"/>
        <v>36.946249999999999</v>
      </c>
      <c r="O25" s="137">
        <f t="shared" si="0"/>
        <v>36.932000000000002</v>
      </c>
      <c r="Q25" s="137" t="str">
        <f>IF(Q14="","",AVERAGE(Q14:Q24))</f>
        <v/>
      </c>
    </row>
    <row r="26" spans="1:17" x14ac:dyDescent="0.2">
      <c r="A26" s="72" t="s">
        <v>78</v>
      </c>
      <c r="B26" s="73" t="s">
        <v>79</v>
      </c>
      <c r="C26" s="67"/>
      <c r="D26" s="67"/>
      <c r="E26" s="74">
        <f>IF(E20="","",$E$20-$A$19)</f>
        <v>36.989750000000001</v>
      </c>
      <c r="F26" s="40"/>
    </row>
    <row r="27" spans="1:17" ht="13.5" x14ac:dyDescent="0.25">
      <c r="A27" s="72" t="s">
        <v>80</v>
      </c>
      <c r="B27" s="73" t="s">
        <v>81</v>
      </c>
      <c r="C27" s="67"/>
      <c r="D27" s="67"/>
      <c r="E27" s="75">
        <f>F11</f>
        <v>1.0060940552928719</v>
      </c>
      <c r="F27" s="40"/>
    </row>
    <row r="28" spans="1:17" ht="13.5" x14ac:dyDescent="0.25">
      <c r="A28" s="72" t="s">
        <v>82</v>
      </c>
      <c r="B28" s="73" t="s">
        <v>83</v>
      </c>
      <c r="C28" s="67"/>
      <c r="D28" s="67"/>
      <c r="E28" s="74">
        <f>$C$8</f>
        <v>1</v>
      </c>
      <c r="F28" s="40"/>
    </row>
    <row r="29" spans="1:17" x14ac:dyDescent="0.2">
      <c r="A29" s="72" t="s">
        <v>84</v>
      </c>
      <c r="B29" s="73" t="s">
        <v>85</v>
      </c>
      <c r="C29" s="67"/>
      <c r="D29" s="67"/>
      <c r="E29" s="74">
        <f>E6</f>
        <v>463.1</v>
      </c>
      <c r="F29" s="40"/>
    </row>
    <row r="30" spans="1:17" ht="13.5" x14ac:dyDescent="0.25">
      <c r="A30" s="72" t="s">
        <v>86</v>
      </c>
      <c r="B30" s="73" t="s">
        <v>87</v>
      </c>
      <c r="C30" s="67"/>
      <c r="D30" s="76"/>
      <c r="E30" s="77">
        <f>C24</f>
        <v>1.0009170446377673</v>
      </c>
      <c r="F30" s="40"/>
    </row>
    <row r="31" spans="1:17" ht="16.5" x14ac:dyDescent="0.25">
      <c r="A31" s="78" t="s">
        <v>88</v>
      </c>
      <c r="B31" s="122">
        <f>IF(E26="","",ABS(E26*E27*E28*E29*E30))</f>
        <v>17250.14876996633</v>
      </c>
      <c r="C31" s="79" t="s">
        <v>89</v>
      </c>
      <c r="D31" s="80" t="s">
        <v>1</v>
      </c>
      <c r="E31" s="328">
        <f>B4</f>
        <v>43171.395833333336</v>
      </c>
      <c r="F31" s="329"/>
    </row>
    <row r="32" spans="1:17" ht="13.5" thickBot="1" x14ac:dyDescent="0.25">
      <c r="A32" s="82" t="s">
        <v>90</v>
      </c>
      <c r="B32" s="83">
        <f>IF(B31="","",B31/110)</f>
        <v>156.81953427242118</v>
      </c>
      <c r="C32" s="84" t="s">
        <v>91</v>
      </c>
      <c r="D32" s="123">
        <f>IF(B31="","",$B$31/4070)</f>
        <v>4.2383657911465189</v>
      </c>
      <c r="E32" s="85" t="s">
        <v>92</v>
      </c>
      <c r="F32" s="86" t="s">
        <v>93</v>
      </c>
    </row>
    <row r="33" spans="1:6" ht="13.5" customHeight="1" thickTop="1" x14ac:dyDescent="0.2">
      <c r="A33" s="87" t="s">
        <v>94</v>
      </c>
      <c r="B33" s="88" t="s">
        <v>51</v>
      </c>
      <c r="C33" s="89" t="s">
        <v>51</v>
      </c>
      <c r="F33" s="40"/>
    </row>
    <row r="34" spans="1:6" x14ac:dyDescent="0.2">
      <c r="A34" s="90" t="s">
        <v>95</v>
      </c>
      <c r="B34" s="131">
        <v>432.8</v>
      </c>
      <c r="C34" s="91"/>
      <c r="D34" s="332" t="s">
        <v>96</v>
      </c>
      <c r="E34" s="333"/>
      <c r="F34" s="334"/>
    </row>
    <row r="35" spans="1:6" x14ac:dyDescent="0.2">
      <c r="A35" s="92" t="s">
        <v>125</v>
      </c>
      <c r="B35" s="132">
        <v>43063.498611111114</v>
      </c>
      <c r="C35" s="93"/>
      <c r="D35" s="94"/>
      <c r="E35" s="95"/>
      <c r="F35" s="96"/>
    </row>
    <row r="36" spans="1:6" x14ac:dyDescent="0.2">
      <c r="A36" s="92" t="s">
        <v>97</v>
      </c>
      <c r="B36" s="124">
        <f>IF(B35="","",B35-(6/24))</f>
        <v>43063.248611111114</v>
      </c>
      <c r="C36" s="97"/>
      <c r="D36" s="338"/>
      <c r="E36" s="333"/>
      <c r="F36" s="334"/>
    </row>
    <row r="37" spans="1:6" ht="15.75" customHeight="1" thickBot="1" x14ac:dyDescent="0.25">
      <c r="A37" s="98" t="s">
        <v>98</v>
      </c>
      <c r="B37" s="125">
        <f>IF(B36="","",EXP(-0.693*(B4-B36)/73.831))</f>
        <v>0.36236532316857051</v>
      </c>
      <c r="C37" s="99" t="s">
        <v>51</v>
      </c>
      <c r="D37" s="100">
        <f>IF(B34="","",B34*B37*110)</f>
        <v>17251.488305409304</v>
      </c>
      <c r="E37" s="339" t="s">
        <v>99</v>
      </c>
      <c r="F37" s="340"/>
    </row>
    <row r="38" spans="1:6" ht="16.5" thickTop="1" x14ac:dyDescent="0.2">
      <c r="A38" s="87" t="s">
        <v>100</v>
      </c>
      <c r="D38" s="133">
        <v>17260</v>
      </c>
      <c r="E38" s="24" t="s">
        <v>101</v>
      </c>
      <c r="F38" s="40" t="s">
        <v>51</v>
      </c>
    </row>
    <row r="39" spans="1:6" ht="15.75" x14ac:dyDescent="0.2">
      <c r="A39" s="87" t="s">
        <v>102</v>
      </c>
      <c r="D39" s="60">
        <f>D37</f>
        <v>17251.488305409304</v>
      </c>
      <c r="E39" s="24" t="s">
        <v>101</v>
      </c>
      <c r="F39" s="40"/>
    </row>
    <row r="40" spans="1:6" ht="15.75" x14ac:dyDescent="0.2">
      <c r="A40" s="87" t="s">
        <v>103</v>
      </c>
      <c r="C40" s="101" t="s">
        <v>51</v>
      </c>
      <c r="D40" s="60">
        <f>B31</f>
        <v>17250.14876996633</v>
      </c>
      <c r="E40" s="24" t="s">
        <v>101</v>
      </c>
      <c r="F40" s="40"/>
    </row>
    <row r="41" spans="1:6" ht="15.75" x14ac:dyDescent="0.25">
      <c r="A41" s="46" t="s">
        <v>104</v>
      </c>
      <c r="D41" s="115">
        <f>IF(D40="","",100*(D40-D38)/D40)</f>
        <v>-5.7108087385433812E-2</v>
      </c>
      <c r="E41" s="116" t="s">
        <v>105</v>
      </c>
      <c r="F41" s="141" t="str">
        <f>IF(D41="","",IF(ABS(D41)&lt;=2,"Acceptable","Not-Acceptable"))</f>
        <v>Acceptable</v>
      </c>
    </row>
    <row r="42" spans="1:6" ht="15.75" x14ac:dyDescent="0.25">
      <c r="A42" s="46" t="s">
        <v>106</v>
      </c>
      <c r="B42" s="102"/>
      <c r="C42" s="102"/>
      <c r="D42" s="117">
        <f>IF(D40="","",100*(D40-D39)/D40)</f>
        <v>-7.7653558867053496E-3</v>
      </c>
      <c r="E42" s="116" t="s">
        <v>105</v>
      </c>
      <c r="F42" s="141" t="str">
        <f>IF(D42="","",IF(ABS(D42)&lt;=2,"Acceptable","Not-Acceptable"))</f>
        <v>Acceptable</v>
      </c>
    </row>
    <row r="43" spans="1:6" x14ac:dyDescent="0.2">
      <c r="A43" s="103"/>
      <c r="B43" s="102"/>
      <c r="C43" s="102"/>
      <c r="D43" s="102"/>
      <c r="F43" s="40"/>
    </row>
    <row r="44" spans="1:6" ht="13.5" thickBot="1" x14ac:dyDescent="0.25">
      <c r="A44" s="104" t="s">
        <v>51</v>
      </c>
      <c r="B44" s="135"/>
      <c r="C44" s="105"/>
      <c r="D44" s="105"/>
      <c r="E44" s="44"/>
      <c r="F44" s="45"/>
    </row>
    <row r="45" spans="1:6" ht="13.5" thickTop="1" x14ac:dyDescent="0.2">
      <c r="A45" s="102"/>
      <c r="B45" s="102"/>
      <c r="C45" s="102"/>
      <c r="D45" s="102"/>
    </row>
    <row r="46" spans="1:6" x14ac:dyDescent="0.2">
      <c r="A46" s="102" t="s">
        <v>107</v>
      </c>
      <c r="B46" s="336" t="s">
        <v>228</v>
      </c>
      <c r="C46" s="336"/>
      <c r="D46" s="102"/>
      <c r="E46" s="24" t="s">
        <v>108</v>
      </c>
      <c r="F46" s="134">
        <v>43171</v>
      </c>
    </row>
    <row r="47" spans="1:6" ht="14.25" x14ac:dyDescent="0.2">
      <c r="A47" s="106"/>
    </row>
    <row r="48" spans="1:6" ht="15" x14ac:dyDescent="0.25">
      <c r="A48" s="337"/>
      <c r="B48" s="337"/>
      <c r="C48" s="337"/>
      <c r="D48" s="337"/>
      <c r="E48" s="337"/>
    </row>
    <row r="49" spans="1:5" ht="15" x14ac:dyDescent="0.25">
      <c r="A49" s="337"/>
      <c r="B49" s="337"/>
      <c r="C49" s="337"/>
      <c r="D49" s="337"/>
      <c r="E49" s="337"/>
    </row>
    <row r="50" spans="1:5" ht="15" x14ac:dyDescent="0.25">
      <c r="A50" s="337"/>
      <c r="B50" s="337"/>
      <c r="C50" s="337"/>
      <c r="D50" s="337"/>
      <c r="E50" s="337"/>
    </row>
    <row r="51" spans="1:5" ht="15" x14ac:dyDescent="0.2">
      <c r="A51" s="335"/>
      <c r="B51" s="335"/>
      <c r="C51" s="335"/>
      <c r="D51" s="335"/>
      <c r="E51" s="335"/>
    </row>
    <row r="53" spans="1:5" ht="15" x14ac:dyDescent="0.25">
      <c r="A53" s="107"/>
    </row>
    <row r="54" spans="1:5" x14ac:dyDescent="0.2">
      <c r="A54" s="108"/>
    </row>
    <row r="55" spans="1:5" x14ac:dyDescent="0.2">
      <c r="A55" s="47"/>
    </row>
    <row r="56" spans="1:5" x14ac:dyDescent="0.2">
      <c r="A56" s="47"/>
    </row>
    <row r="57" spans="1:5" x14ac:dyDescent="0.2">
      <c r="A57" s="47"/>
    </row>
    <row r="58" spans="1:5" x14ac:dyDescent="0.2">
      <c r="A58" s="47"/>
    </row>
    <row r="59" spans="1:5" x14ac:dyDescent="0.2">
      <c r="A59" s="47"/>
    </row>
    <row r="65" spans="2:2" x14ac:dyDescent="0.2">
      <c r="B65" s="109"/>
    </row>
  </sheetData>
  <mergeCells count="17">
    <mergeCell ref="I12:O12"/>
    <mergeCell ref="E3:F3"/>
    <mergeCell ref="E4:F4"/>
    <mergeCell ref="A1:F1"/>
    <mergeCell ref="A2:F2"/>
    <mergeCell ref="B4:C4"/>
    <mergeCell ref="B12:C12"/>
    <mergeCell ref="E31:F31"/>
    <mergeCell ref="D14:D19"/>
    <mergeCell ref="D34:F34"/>
    <mergeCell ref="A51:E51"/>
    <mergeCell ref="B46:C46"/>
    <mergeCell ref="A48:E48"/>
    <mergeCell ref="A49:E49"/>
    <mergeCell ref="A50:E50"/>
    <mergeCell ref="D36:F36"/>
    <mergeCell ref="E37:F37"/>
  </mergeCells>
  <phoneticPr fontId="78" type="noConversion"/>
  <pageMargins left="0.70866141732283472" right="0.70866141732283472" top="0.74803149606299213" bottom="0.74803149606299213" header="0.31496062992125984" footer="0.31496062992125984"/>
  <pageSetup scale="92" fitToWidth="2" orientation="portrait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>
    <pageSetUpPr fitToPage="1"/>
  </sheetPr>
  <dimension ref="A1:Q58"/>
  <sheetViews>
    <sheetView tabSelected="1" zoomScaleNormal="100" workbookViewId="0">
      <selection activeCell="B12" sqref="B12:C12"/>
    </sheetView>
  </sheetViews>
  <sheetFormatPr defaultRowHeight="12.75" x14ac:dyDescent="0.2"/>
  <cols>
    <col min="1" max="1" width="25.42578125" style="24" customWidth="1"/>
    <col min="2" max="2" width="13.85546875" style="24" customWidth="1"/>
    <col min="3" max="3" width="13.42578125" style="24" customWidth="1"/>
    <col min="4" max="4" width="13.140625" style="24" customWidth="1"/>
    <col min="5" max="5" width="10.7109375" style="24" customWidth="1"/>
    <col min="6" max="6" width="19.28515625" style="24" customWidth="1"/>
    <col min="7" max="7" width="9.140625" style="24"/>
    <col min="8" max="8" width="13" style="24" customWidth="1"/>
    <col min="9" max="17" width="9.140625" style="24"/>
    <col min="18" max="18" width="9.85546875" style="24" customWidth="1"/>
    <col min="19" max="16384" width="9.140625" style="24"/>
  </cols>
  <sheetData>
    <row r="1" spans="1:17" ht="14.25" x14ac:dyDescent="0.2">
      <c r="A1" s="344" t="s">
        <v>113</v>
      </c>
      <c r="B1" s="345"/>
      <c r="C1" s="345"/>
      <c r="D1" s="345"/>
      <c r="E1" s="345"/>
      <c r="F1" s="345"/>
    </row>
    <row r="2" spans="1:17" ht="18.75" customHeight="1" x14ac:dyDescent="0.2">
      <c r="A2" s="344" t="s">
        <v>111</v>
      </c>
      <c r="B2" s="344"/>
      <c r="C2" s="344"/>
      <c r="D2" s="344"/>
      <c r="E2" s="344"/>
      <c r="F2" s="344"/>
    </row>
    <row r="3" spans="1:17" ht="15" customHeight="1" x14ac:dyDescent="0.2">
      <c r="A3" s="25" t="s">
        <v>44</v>
      </c>
      <c r="B3" s="126">
        <v>39</v>
      </c>
      <c r="C3" s="26"/>
      <c r="D3" s="26" t="s">
        <v>45</v>
      </c>
      <c r="E3" s="342" t="s">
        <v>46</v>
      </c>
      <c r="F3" s="342"/>
    </row>
    <row r="4" spans="1:17" ht="15" customHeight="1" thickBot="1" x14ac:dyDescent="0.25">
      <c r="A4" s="27" t="s">
        <v>47</v>
      </c>
      <c r="B4" s="346">
        <v>43171.575694444444</v>
      </c>
      <c r="C4" s="346"/>
      <c r="D4" s="27" t="s">
        <v>109</v>
      </c>
      <c r="E4" s="343" t="s">
        <v>232</v>
      </c>
      <c r="F4" s="343"/>
    </row>
    <row r="5" spans="1:17" s="32" customFormat="1" ht="15" customHeight="1" thickTop="1" x14ac:dyDescent="0.2">
      <c r="A5" s="28" t="s">
        <v>48</v>
      </c>
      <c r="B5" s="29"/>
      <c r="C5" s="30"/>
      <c r="D5" s="31" t="s">
        <v>49</v>
      </c>
      <c r="E5" s="29" t="s">
        <v>50</v>
      </c>
      <c r="F5" s="304">
        <v>42392</v>
      </c>
      <c r="H5" s="32" t="s">
        <v>51</v>
      </c>
    </row>
    <row r="6" spans="1:17" s="32" customFormat="1" ht="15" customHeight="1" thickBot="1" x14ac:dyDescent="0.25">
      <c r="A6" s="33" t="s">
        <v>52</v>
      </c>
      <c r="B6" s="113">
        <f>4.631*(10^5)</f>
        <v>463100</v>
      </c>
      <c r="C6" s="34" t="s">
        <v>53</v>
      </c>
      <c r="D6" s="35"/>
      <c r="E6" s="114">
        <f>$B$6*(10^6)/(10^9)</f>
        <v>463.1</v>
      </c>
      <c r="F6" s="36" t="s">
        <v>54</v>
      </c>
      <c r="H6" s="32" t="s">
        <v>51</v>
      </c>
    </row>
    <row r="7" spans="1:17" ht="15" customHeight="1" thickTop="1" x14ac:dyDescent="0.2">
      <c r="A7" s="37" t="s">
        <v>55</v>
      </c>
      <c r="B7" s="38"/>
      <c r="D7" s="39"/>
      <c r="E7" s="39"/>
      <c r="F7" s="40"/>
    </row>
    <row r="8" spans="1:17" ht="15" customHeight="1" x14ac:dyDescent="0.25">
      <c r="A8" s="37" t="s">
        <v>56</v>
      </c>
      <c r="B8" s="41" t="s">
        <v>51</v>
      </c>
      <c r="C8" s="118">
        <v>1</v>
      </c>
      <c r="D8" s="41" t="s">
        <v>57</v>
      </c>
      <c r="E8" s="39" t="s">
        <v>51</v>
      </c>
      <c r="F8" s="40"/>
    </row>
    <row r="9" spans="1:17" ht="15" customHeight="1" thickBot="1" x14ac:dyDescent="0.25">
      <c r="A9" s="42" t="s">
        <v>58</v>
      </c>
      <c r="B9" s="43"/>
      <c r="C9" s="44"/>
      <c r="D9" s="43"/>
      <c r="E9" s="43"/>
      <c r="F9" s="45"/>
    </row>
    <row r="10" spans="1:17" ht="13.5" thickTop="1" x14ac:dyDescent="0.2">
      <c r="A10" s="46" t="s">
        <v>59</v>
      </c>
      <c r="B10" s="47"/>
      <c r="C10" s="47"/>
      <c r="D10" s="47"/>
      <c r="E10" s="47"/>
      <c r="F10" s="40"/>
      <c r="I10" s="140" t="s">
        <v>110</v>
      </c>
      <c r="J10" s="140"/>
      <c r="K10" s="140"/>
    </row>
    <row r="11" spans="1:17" ht="14.25" thickBot="1" x14ac:dyDescent="0.3">
      <c r="A11" s="48" t="s">
        <v>60</v>
      </c>
      <c r="B11" s="127">
        <v>22.5</v>
      </c>
      <c r="C11" s="49"/>
      <c r="D11" s="127">
        <v>756.2</v>
      </c>
      <c r="E11" s="50" t="s">
        <v>61</v>
      </c>
      <c r="F11" s="111">
        <f>IF(B11="","",((273.15+$B$11)/295.15)*760/$D$11)</f>
        <v>1.0067276923325761</v>
      </c>
    </row>
    <row r="12" spans="1:17" ht="16.5" customHeight="1" thickTop="1" x14ac:dyDescent="0.2">
      <c r="A12" s="51" t="s">
        <v>51</v>
      </c>
      <c r="B12" s="347"/>
      <c r="C12" s="348"/>
      <c r="D12" s="47" t="s">
        <v>62</v>
      </c>
      <c r="E12" s="47"/>
      <c r="F12" s="52"/>
      <c r="I12" s="349" t="s">
        <v>63</v>
      </c>
      <c r="J12" s="350"/>
      <c r="K12" s="350"/>
      <c r="L12" s="350"/>
      <c r="M12" s="350"/>
      <c r="N12" s="350"/>
      <c r="O12" s="351"/>
      <c r="Q12" s="136" t="s">
        <v>64</v>
      </c>
    </row>
    <row r="13" spans="1:17" s="58" customFormat="1" ht="21" customHeight="1" x14ac:dyDescent="0.2">
      <c r="A13" s="53" t="s">
        <v>65</v>
      </c>
      <c r="B13" s="194"/>
      <c r="C13" s="55" t="s">
        <v>66</v>
      </c>
      <c r="D13" s="54" t="s">
        <v>67</v>
      </c>
      <c r="E13" s="56" t="s">
        <v>66</v>
      </c>
      <c r="F13" s="57"/>
      <c r="I13" s="136">
        <v>247</v>
      </c>
      <c r="J13" s="136">
        <v>248</v>
      </c>
      <c r="K13" s="136">
        <v>249</v>
      </c>
      <c r="L13" s="136">
        <v>250</v>
      </c>
      <c r="M13" s="136">
        <v>251</v>
      </c>
      <c r="N13" s="136">
        <v>252</v>
      </c>
      <c r="O13" s="136">
        <v>253</v>
      </c>
      <c r="Q13" s="136">
        <v>250</v>
      </c>
    </row>
    <row r="14" spans="1:17" ht="18" customHeight="1" x14ac:dyDescent="0.2">
      <c r="A14" s="59" t="s">
        <v>68</v>
      </c>
      <c r="B14" s="195" t="s">
        <v>51</v>
      </c>
      <c r="C14" s="196"/>
      <c r="D14" s="352">
        <v>250</v>
      </c>
      <c r="E14" s="138">
        <v>88.087999999999994</v>
      </c>
      <c r="F14" s="40"/>
      <c r="I14" s="138">
        <v>88.031999999999996</v>
      </c>
      <c r="J14" s="138">
        <v>88.072999999999993</v>
      </c>
      <c r="K14" s="138">
        <v>88.081999999999994</v>
      </c>
      <c r="L14" s="138">
        <v>88.087999999999994</v>
      </c>
      <c r="M14" s="138">
        <v>88.073999999999998</v>
      </c>
      <c r="N14" s="138">
        <v>88.036000000000001</v>
      </c>
      <c r="O14" s="138">
        <v>88.028000000000006</v>
      </c>
      <c r="Q14" s="138"/>
    </row>
    <row r="15" spans="1:17" ht="15.75" customHeight="1" x14ac:dyDescent="0.2">
      <c r="A15" s="128">
        <v>0</v>
      </c>
      <c r="B15" s="195"/>
      <c r="C15" s="197"/>
      <c r="D15" s="353"/>
      <c r="E15" s="138">
        <v>88.082999999999998</v>
      </c>
      <c r="F15" s="40"/>
      <c r="I15" s="138">
        <v>88.028999999999996</v>
      </c>
      <c r="J15" s="138">
        <v>88.075999999999993</v>
      </c>
      <c r="K15" s="138">
        <v>88.076999999999998</v>
      </c>
      <c r="L15" s="138">
        <v>88.082999999999998</v>
      </c>
      <c r="M15" s="138">
        <v>88.076999999999998</v>
      </c>
      <c r="N15" s="139">
        <v>88.04</v>
      </c>
      <c r="O15" s="139">
        <v>88.031999999999996</v>
      </c>
      <c r="Q15" s="138"/>
    </row>
    <row r="16" spans="1:17" ht="17.25" customHeight="1" x14ac:dyDescent="0.2">
      <c r="A16" s="59" t="s">
        <v>69</v>
      </c>
      <c r="B16" s="195"/>
      <c r="C16" s="197"/>
      <c r="D16" s="353"/>
      <c r="E16" s="138">
        <v>88.084999999999994</v>
      </c>
      <c r="F16" s="40"/>
      <c r="I16" s="138">
        <v>88.027000000000001</v>
      </c>
      <c r="J16" s="138">
        <v>88.075000000000003</v>
      </c>
      <c r="K16" s="138">
        <v>88.075999999999993</v>
      </c>
      <c r="L16" s="138">
        <v>88.084999999999994</v>
      </c>
      <c r="M16" s="138">
        <v>88.075000000000003</v>
      </c>
      <c r="N16" s="138">
        <v>88.034000000000006</v>
      </c>
      <c r="O16" s="138">
        <v>88.034999999999997</v>
      </c>
      <c r="Q16" s="138"/>
    </row>
    <row r="17" spans="1:17" ht="16.5" customHeight="1" x14ac:dyDescent="0.2">
      <c r="A17" s="128">
        <v>0</v>
      </c>
      <c r="B17" s="195"/>
      <c r="C17" s="197"/>
      <c r="D17" s="353"/>
      <c r="E17" s="138">
        <v>88.09</v>
      </c>
      <c r="F17" s="40"/>
      <c r="I17" s="138">
        <v>88.033000000000001</v>
      </c>
      <c r="J17" s="138">
        <v>88.072999999999993</v>
      </c>
      <c r="K17" s="138">
        <v>88.08</v>
      </c>
      <c r="L17" s="138">
        <v>88.09</v>
      </c>
      <c r="M17" s="138">
        <v>88.070999999999998</v>
      </c>
      <c r="N17" s="138">
        <v>88.034999999999997</v>
      </c>
      <c r="O17" s="138">
        <v>88.028000000000006</v>
      </c>
      <c r="Q17" s="138"/>
    </row>
    <row r="18" spans="1:17" ht="15" customHeight="1" x14ac:dyDescent="0.2">
      <c r="A18" s="61" t="s">
        <v>70</v>
      </c>
      <c r="B18" s="195"/>
      <c r="C18" s="197"/>
      <c r="D18" s="353"/>
      <c r="E18" s="138">
        <v>88.082999999999998</v>
      </c>
      <c r="F18" s="40"/>
      <c r="I18" s="138">
        <v>88.034000000000006</v>
      </c>
      <c r="J18" s="138">
        <v>88.070999999999998</v>
      </c>
      <c r="K18" s="138">
        <v>88.081999999999994</v>
      </c>
      <c r="L18" s="138">
        <v>88.082999999999998</v>
      </c>
      <c r="M18" s="138">
        <v>88.066999999999993</v>
      </c>
      <c r="N18" s="138"/>
      <c r="O18" s="138"/>
      <c r="Q18" s="138"/>
    </row>
    <row r="19" spans="1:17" ht="15" customHeight="1" x14ac:dyDescent="0.2">
      <c r="A19" s="121">
        <f>(A15+A17)/2</f>
        <v>0</v>
      </c>
      <c r="B19" s="195"/>
      <c r="C19" s="197"/>
      <c r="D19" s="353"/>
      <c r="E19" s="138">
        <v>88.085999999999999</v>
      </c>
      <c r="F19" s="40"/>
      <c r="I19" s="138">
        <v>88.034999999999997</v>
      </c>
      <c r="J19" s="138">
        <v>88.075000000000003</v>
      </c>
      <c r="K19" s="138">
        <v>88.078999999999994</v>
      </c>
      <c r="L19" s="138">
        <v>88.085999999999999</v>
      </c>
      <c r="M19" s="138">
        <v>88.052000000000007</v>
      </c>
      <c r="N19" s="138"/>
      <c r="O19" s="138"/>
      <c r="Q19" s="138"/>
    </row>
    <row r="20" spans="1:17" ht="15" customHeight="1" thickBot="1" x14ac:dyDescent="0.3">
      <c r="A20" s="62"/>
      <c r="B20" s="198"/>
      <c r="C20" s="64" t="s">
        <v>51</v>
      </c>
      <c r="D20" s="193" t="s">
        <v>71</v>
      </c>
      <c r="E20" s="120">
        <f>IF(E14="","",AVERAGE(E14:E19))</f>
        <v>88.085833333333326</v>
      </c>
      <c r="F20" s="45"/>
      <c r="I20" s="138">
        <v>88.028999999999996</v>
      </c>
      <c r="J20" s="138">
        <v>88.07</v>
      </c>
      <c r="K20" s="138">
        <v>88.082999999999998</v>
      </c>
      <c r="L20" s="138">
        <v>88.08</v>
      </c>
      <c r="M20" s="138"/>
      <c r="N20" s="138"/>
      <c r="O20" s="138"/>
      <c r="Q20" s="138"/>
    </row>
    <row r="21" spans="1:17" ht="13.5" thickTop="1" x14ac:dyDescent="0.2">
      <c r="A21" s="65" t="s">
        <v>72</v>
      </c>
      <c r="F21" s="66" t="s">
        <v>71</v>
      </c>
      <c r="I21" s="138">
        <v>88.034000000000006</v>
      </c>
      <c r="J21" s="138">
        <v>88.072999999999993</v>
      </c>
      <c r="K21" s="138">
        <v>88.078000000000003</v>
      </c>
      <c r="L21" s="138">
        <v>88.076999999999998</v>
      </c>
      <c r="M21" s="138"/>
      <c r="N21" s="138"/>
      <c r="O21" s="138"/>
      <c r="Q21" s="138"/>
    </row>
    <row r="22" spans="1:17" ht="15" customHeight="1" x14ac:dyDescent="0.25">
      <c r="A22" s="67" t="s">
        <v>73</v>
      </c>
      <c r="B22" s="130">
        <v>-2699.7</v>
      </c>
      <c r="C22" s="130">
        <v>-2699.7</v>
      </c>
      <c r="D22" s="130">
        <v>-2699.6</v>
      </c>
      <c r="E22" s="68" t="s">
        <v>74</v>
      </c>
      <c r="F22" s="69">
        <f>IF(B22="","",AVERAGE(B22:D22))</f>
        <v>-2699.6666666666665</v>
      </c>
      <c r="I22" s="138"/>
      <c r="J22" s="138"/>
      <c r="K22" s="138">
        <v>88.08</v>
      </c>
      <c r="L22" s="138">
        <v>88.081999999999994</v>
      </c>
      <c r="M22" s="138"/>
      <c r="N22" s="138"/>
      <c r="O22" s="138"/>
      <c r="Q22" s="138"/>
    </row>
    <row r="23" spans="1:17" ht="15.75" customHeight="1" x14ac:dyDescent="0.25">
      <c r="A23" s="67" t="s">
        <v>75</v>
      </c>
      <c r="B23" s="130">
        <v>-2690.3</v>
      </c>
      <c r="C23" s="130">
        <v>-2693.2</v>
      </c>
      <c r="D23" s="130">
        <v>-2693.3</v>
      </c>
      <c r="E23" s="68" t="s">
        <v>74</v>
      </c>
      <c r="F23" s="69">
        <f>IF(B23="","",AVERAGE(B23:D23))</f>
        <v>-2692.2666666666669</v>
      </c>
      <c r="I23" s="138"/>
      <c r="J23" s="138"/>
      <c r="K23" s="138">
        <v>88.078000000000003</v>
      </c>
      <c r="L23" s="138">
        <v>88.08</v>
      </c>
      <c r="M23" s="138"/>
      <c r="N23" s="138"/>
      <c r="O23" s="138"/>
      <c r="Q23" s="138"/>
    </row>
    <row r="24" spans="1:17" ht="16.5" customHeight="1" thickBot="1" x14ac:dyDescent="0.25">
      <c r="A24" s="70" t="s">
        <v>76</v>
      </c>
      <c r="B24" s="44"/>
      <c r="C24" s="119">
        <f>IF(F22="","",1/((4/3)-((F22)/(3*F23))))</f>
        <v>1.0009170446377673</v>
      </c>
      <c r="D24" s="44" t="s">
        <v>51</v>
      </c>
      <c r="E24" s="44"/>
      <c r="F24" s="45"/>
      <c r="I24" s="138"/>
      <c r="J24" s="138"/>
      <c r="K24" s="138">
        <v>88.075999999999993</v>
      </c>
      <c r="L24" s="138">
        <v>88.082999999999998</v>
      </c>
      <c r="M24" s="138"/>
      <c r="N24" s="138"/>
      <c r="O24" s="138"/>
      <c r="Q24" s="138"/>
    </row>
    <row r="25" spans="1:17" ht="18" customHeight="1" thickTop="1" x14ac:dyDescent="0.3">
      <c r="A25" s="71" t="s">
        <v>77</v>
      </c>
      <c r="F25" s="40"/>
      <c r="I25" s="137">
        <f t="shared" ref="I25:O25" si="0">IF(I14="","",AVERAGE(I14:I24))</f>
        <v>88.031624999999991</v>
      </c>
      <c r="J25" s="137">
        <f t="shared" si="0"/>
        <v>88.073249999999987</v>
      </c>
      <c r="K25" s="137">
        <f t="shared" si="0"/>
        <v>88.079181818181823</v>
      </c>
      <c r="L25" s="137">
        <f t="shared" si="0"/>
        <v>88.083363636363643</v>
      </c>
      <c r="M25" s="137">
        <f t="shared" si="0"/>
        <v>88.069333333333347</v>
      </c>
      <c r="N25" s="137">
        <f t="shared" si="0"/>
        <v>88.036249999999995</v>
      </c>
      <c r="O25" s="137">
        <f t="shared" si="0"/>
        <v>88.030750000000012</v>
      </c>
      <c r="Q25" s="137" t="str">
        <f>IF(Q14="","",AVERAGE(Q14:Q24))</f>
        <v/>
      </c>
    </row>
    <row r="26" spans="1:17" x14ac:dyDescent="0.2">
      <c r="A26" s="72" t="s">
        <v>78</v>
      </c>
      <c r="B26" s="73" t="s">
        <v>79</v>
      </c>
      <c r="C26" s="67"/>
      <c r="D26" s="67"/>
      <c r="E26" s="74">
        <f>IF(E20="","",$E$20-$A$19)</f>
        <v>88.085833333333326</v>
      </c>
      <c r="F26" s="40"/>
    </row>
    <row r="27" spans="1:17" ht="13.5" x14ac:dyDescent="0.25">
      <c r="A27" s="72" t="s">
        <v>80</v>
      </c>
      <c r="B27" s="73" t="s">
        <v>81</v>
      </c>
      <c r="C27" s="67"/>
      <c r="D27" s="67"/>
      <c r="E27" s="75">
        <f>F11</f>
        <v>1.0067276923325761</v>
      </c>
      <c r="F27" s="40"/>
    </row>
    <row r="28" spans="1:17" ht="13.5" x14ac:dyDescent="0.25">
      <c r="A28" s="72" t="s">
        <v>82</v>
      </c>
      <c r="B28" s="73" t="s">
        <v>83</v>
      </c>
      <c r="C28" s="67"/>
      <c r="D28" s="67"/>
      <c r="E28" s="74">
        <f>$C$8</f>
        <v>1</v>
      </c>
      <c r="F28" s="40"/>
    </row>
    <row r="29" spans="1:17" x14ac:dyDescent="0.2">
      <c r="A29" s="72" t="s">
        <v>84</v>
      </c>
      <c r="B29" s="73" t="s">
        <v>85</v>
      </c>
      <c r="C29" s="67"/>
      <c r="D29" s="67"/>
      <c r="E29" s="74">
        <f>E6</f>
        <v>463.1</v>
      </c>
      <c r="F29" s="40"/>
    </row>
    <row r="30" spans="1:17" ht="13.5" x14ac:dyDescent="0.25">
      <c r="A30" s="72" t="s">
        <v>86</v>
      </c>
      <c r="B30" s="73" t="s">
        <v>87</v>
      </c>
      <c r="C30" s="67"/>
      <c r="D30" s="76"/>
      <c r="E30" s="77">
        <f>C24</f>
        <v>1.0009170446377673</v>
      </c>
      <c r="F30" s="40"/>
    </row>
    <row r="31" spans="1:17" ht="16.5" x14ac:dyDescent="0.25">
      <c r="A31" s="78" t="s">
        <v>88</v>
      </c>
      <c r="B31" s="122">
        <f>IF(E26="","",ABS(E26*E27*E28*E29*E30))</f>
        <v>41104.649400782204</v>
      </c>
      <c r="C31" s="79" t="s">
        <v>89</v>
      </c>
      <c r="D31" s="80" t="s">
        <v>1</v>
      </c>
      <c r="E31" s="328">
        <f>B4</f>
        <v>43171.575694444444</v>
      </c>
      <c r="F31" s="329"/>
      <c r="I31" s="81"/>
      <c r="J31" s="81"/>
      <c r="K31" s="81"/>
    </row>
    <row r="32" spans="1:17" ht="13.5" thickBot="1" x14ac:dyDescent="0.25">
      <c r="A32" s="82" t="s">
        <v>90</v>
      </c>
      <c r="B32" s="83">
        <f>IF(B31="","",B31/110)</f>
        <v>373.67863091620183</v>
      </c>
      <c r="C32" s="84" t="s">
        <v>91</v>
      </c>
      <c r="D32" s="123">
        <f>IF(B31="","",$B$31/4070)</f>
        <v>10.099422457194645</v>
      </c>
      <c r="E32" s="85" t="s">
        <v>92</v>
      </c>
      <c r="F32" s="86" t="s">
        <v>93</v>
      </c>
      <c r="I32" s="81"/>
      <c r="J32" s="81"/>
      <c r="K32" s="81"/>
    </row>
    <row r="33" spans="1:11" ht="13.5" customHeight="1" thickTop="1" x14ac:dyDescent="0.2">
      <c r="A33" s="87" t="s">
        <v>94</v>
      </c>
      <c r="B33" s="88" t="s">
        <v>51</v>
      </c>
      <c r="C33" s="89" t="s">
        <v>51</v>
      </c>
      <c r="F33" s="40"/>
    </row>
    <row r="34" spans="1:11" x14ac:dyDescent="0.2">
      <c r="A34" s="90" t="s">
        <v>95</v>
      </c>
      <c r="B34" s="131">
        <v>447.5</v>
      </c>
      <c r="C34" s="91"/>
      <c r="D34" s="332" t="s">
        <v>96</v>
      </c>
      <c r="E34" s="333"/>
      <c r="F34" s="334"/>
      <c r="I34" s="60"/>
      <c r="J34" s="60"/>
      <c r="K34" s="60"/>
    </row>
    <row r="35" spans="1:11" x14ac:dyDescent="0.2">
      <c r="A35" s="92" t="s">
        <v>125</v>
      </c>
      <c r="B35" s="132">
        <v>43152.873611111114</v>
      </c>
      <c r="C35" s="93"/>
      <c r="D35" s="94"/>
      <c r="E35" s="95"/>
      <c r="F35" s="96"/>
      <c r="I35" s="60"/>
      <c r="J35" s="60"/>
      <c r="K35" s="60"/>
    </row>
    <row r="36" spans="1:11" x14ac:dyDescent="0.2">
      <c r="A36" s="92" t="s">
        <v>97</v>
      </c>
      <c r="B36" s="124">
        <f>IF(B35="","",B35-(6/24))</f>
        <v>43152.623611111114</v>
      </c>
      <c r="C36" s="97"/>
      <c r="D36" s="338"/>
      <c r="E36" s="333"/>
      <c r="F36" s="334"/>
    </row>
    <row r="37" spans="1:11" ht="15.75" customHeight="1" thickBot="1" x14ac:dyDescent="0.25">
      <c r="A37" s="98" t="s">
        <v>98</v>
      </c>
      <c r="B37" s="125">
        <f>IF(B36="","",EXP(-0.693*(B4-B36)/73.831))</f>
        <v>0.83703452441662518</v>
      </c>
      <c r="C37" s="99" t="s">
        <v>51</v>
      </c>
      <c r="D37" s="100">
        <f>IF(B37="","",B34*B37*110)</f>
        <v>41203.024464408372</v>
      </c>
      <c r="E37" s="339" t="s">
        <v>99</v>
      </c>
      <c r="F37" s="340"/>
    </row>
    <row r="38" spans="1:11" ht="16.5" thickTop="1" x14ac:dyDescent="0.2">
      <c r="A38" s="87" t="s">
        <v>100</v>
      </c>
      <c r="D38" s="133">
        <v>41224</v>
      </c>
      <c r="E38" s="24" t="s">
        <v>101</v>
      </c>
      <c r="F38" s="40" t="s">
        <v>51</v>
      </c>
    </row>
    <row r="39" spans="1:11" ht="15.75" x14ac:dyDescent="0.2">
      <c r="A39" s="87" t="s">
        <v>102</v>
      </c>
      <c r="D39" s="60">
        <f>D37</f>
        <v>41203.024464408372</v>
      </c>
      <c r="E39" s="24" t="s">
        <v>101</v>
      </c>
      <c r="F39" s="40"/>
    </row>
    <row r="40" spans="1:11" ht="15.75" x14ac:dyDescent="0.2">
      <c r="A40" s="87" t="s">
        <v>103</v>
      </c>
      <c r="C40" s="101" t="s">
        <v>51</v>
      </c>
      <c r="D40" s="60">
        <f>B31</f>
        <v>41104.649400782204</v>
      </c>
      <c r="E40" s="24" t="s">
        <v>101</v>
      </c>
      <c r="F40" s="40"/>
    </row>
    <row r="41" spans="1:11" ht="15.75" x14ac:dyDescent="0.25">
      <c r="A41" s="46" t="s">
        <v>104</v>
      </c>
      <c r="D41" s="115">
        <f>IF(D40="","",100*(D40-D38)/D40)</f>
        <v>-0.29035790587603194</v>
      </c>
      <c r="E41" s="116" t="s">
        <v>105</v>
      </c>
      <c r="F41" s="141" t="str">
        <f>IF(D41="","",IF(ABS(D41)&lt;=2,"Acceptable","Not-Acceptable"))</f>
        <v>Acceptable</v>
      </c>
    </row>
    <row r="42" spans="1:11" ht="15.75" x14ac:dyDescent="0.25">
      <c r="A42" s="46" t="s">
        <v>106</v>
      </c>
      <c r="B42" s="102"/>
      <c r="C42" s="102"/>
      <c r="D42" s="117">
        <f>IF(D40="","",100*(D40-D39)/D40)</f>
        <v>-0.23932831215024639</v>
      </c>
      <c r="E42" s="116" t="s">
        <v>105</v>
      </c>
      <c r="F42" s="141" t="str">
        <f>IF(D42="","",IF(ABS(D42)&lt;=2,"Acceptable","Not-Acceptable"))</f>
        <v>Acceptable</v>
      </c>
    </row>
    <row r="43" spans="1:11" x14ac:dyDescent="0.2">
      <c r="A43" s="103"/>
      <c r="B43" s="102"/>
      <c r="C43" s="102"/>
      <c r="D43" s="102"/>
      <c r="F43" s="40"/>
    </row>
    <row r="44" spans="1:11" ht="13.5" thickBot="1" x14ac:dyDescent="0.25">
      <c r="A44" s="104" t="s">
        <v>51</v>
      </c>
      <c r="B44" s="135"/>
      <c r="C44" s="105"/>
      <c r="D44" s="105"/>
      <c r="E44" s="44"/>
      <c r="F44" s="45"/>
    </row>
    <row r="45" spans="1:11" ht="13.5" thickTop="1" x14ac:dyDescent="0.2">
      <c r="A45" s="102"/>
      <c r="B45" s="102"/>
      <c r="C45" s="102"/>
      <c r="D45" s="102"/>
    </row>
    <row r="46" spans="1:11" x14ac:dyDescent="0.2">
      <c r="A46" s="102" t="s">
        <v>107</v>
      </c>
      <c r="B46" s="336" t="s">
        <v>240</v>
      </c>
      <c r="C46" s="336"/>
      <c r="D46" s="102"/>
      <c r="E46" s="24" t="s">
        <v>108</v>
      </c>
      <c r="F46" s="134">
        <v>43171</v>
      </c>
    </row>
    <row r="47" spans="1:11" ht="14.25" x14ac:dyDescent="0.2">
      <c r="A47" s="106"/>
    </row>
    <row r="48" spans="1:11" x14ac:dyDescent="0.2">
      <c r="A48" s="47"/>
    </row>
    <row r="49" spans="1:2" x14ac:dyDescent="0.2">
      <c r="A49" s="47"/>
    </row>
    <row r="50" spans="1:2" x14ac:dyDescent="0.2">
      <c r="A50" s="47"/>
    </row>
    <row r="51" spans="1:2" x14ac:dyDescent="0.2">
      <c r="A51" s="47"/>
    </row>
    <row r="52" spans="1:2" x14ac:dyDescent="0.2">
      <c r="A52" s="47"/>
    </row>
    <row r="58" spans="1:2" x14ac:dyDescent="0.2">
      <c r="B58" s="109"/>
    </row>
  </sheetData>
  <mergeCells count="13">
    <mergeCell ref="B46:C46"/>
    <mergeCell ref="E3:F3"/>
    <mergeCell ref="E4:F4"/>
    <mergeCell ref="D34:F34"/>
    <mergeCell ref="D36:F36"/>
    <mergeCell ref="E37:F37"/>
    <mergeCell ref="E31:F31"/>
    <mergeCell ref="D14:D19"/>
    <mergeCell ref="I12:O12"/>
    <mergeCell ref="A1:F1"/>
    <mergeCell ref="A2:F2"/>
    <mergeCell ref="B4:C4"/>
    <mergeCell ref="B12:C12"/>
  </mergeCells>
  <phoneticPr fontId="78" type="noConversion"/>
  <pageMargins left="0.70866141732283472" right="0.70866141732283472" top="0.74803149606299213" bottom="0.74803149606299213" header="0.31496062992125984" footer="0.31496062992125984"/>
  <pageSetup scale="96" fitToWidth="2" orientation="portrait" r:id="rId1"/>
  <colBreaks count="1" manualBreakCount="1">
    <brk id="6" max="1048575" man="1"/>
  </colBreaks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I34"/>
  <sheetViews>
    <sheetView workbookViewId="0">
      <selection activeCell="H34" sqref="H34:I34"/>
    </sheetView>
  </sheetViews>
  <sheetFormatPr defaultRowHeight="16.5" x14ac:dyDescent="0.25"/>
  <cols>
    <col min="1" max="1" width="14.85546875" style="297" customWidth="1"/>
    <col min="2" max="2" width="6" style="297" customWidth="1"/>
    <col min="3" max="3" width="8.85546875" style="297" customWidth="1"/>
    <col min="4" max="4" width="14.7109375" style="297" customWidth="1"/>
    <col min="5" max="5" width="7.7109375" style="297" customWidth="1"/>
    <col min="6" max="6" width="14.7109375" style="297" customWidth="1"/>
    <col min="7" max="7" width="2.7109375" style="297" customWidth="1"/>
    <col min="8" max="8" width="14.7109375" style="297" customWidth="1"/>
    <col min="9" max="9" width="16.85546875" style="297" customWidth="1"/>
    <col min="10" max="16384" width="9.140625" style="273"/>
  </cols>
  <sheetData>
    <row r="1" spans="1:9" ht="20.25" x14ac:dyDescent="0.25">
      <c r="A1" s="308" t="s">
        <v>199</v>
      </c>
      <c r="B1" s="308"/>
      <c r="C1" s="308"/>
      <c r="D1" s="308"/>
      <c r="E1" s="308"/>
      <c r="F1" s="308"/>
      <c r="G1" s="308"/>
      <c r="H1" s="308"/>
      <c r="I1" s="308"/>
    </row>
    <row r="4" spans="1:9" x14ac:dyDescent="0.25">
      <c r="A4" s="274" t="s">
        <v>173</v>
      </c>
      <c r="B4" s="354">
        <v>43172</v>
      </c>
      <c r="C4" s="310"/>
      <c r="D4" s="274"/>
      <c r="E4" s="274"/>
      <c r="F4" s="311" t="s">
        <v>126</v>
      </c>
      <c r="G4" s="311"/>
      <c r="H4" s="311"/>
      <c r="I4" s="275" t="s">
        <v>229</v>
      </c>
    </row>
    <row r="5" spans="1:9" x14ac:dyDescent="0.25">
      <c r="A5" s="274"/>
      <c r="B5" s="274"/>
      <c r="C5" s="274"/>
      <c r="D5" s="274"/>
      <c r="E5" s="274"/>
      <c r="F5" s="274"/>
      <c r="G5" s="274"/>
      <c r="H5" s="274"/>
      <c r="I5" s="274"/>
    </row>
    <row r="6" spans="1:9" ht="18.75" x14ac:dyDescent="0.25">
      <c r="A6" s="276" t="s">
        <v>174</v>
      </c>
      <c r="B6" s="274"/>
      <c r="C6" s="274"/>
      <c r="D6" s="274"/>
      <c r="E6" s="274"/>
      <c r="F6" s="274"/>
      <c r="G6" s="274"/>
      <c r="H6" s="274"/>
      <c r="I6" s="274"/>
    </row>
    <row r="7" spans="1:9" x14ac:dyDescent="0.25">
      <c r="A7" s="274" t="s">
        <v>175</v>
      </c>
      <c r="B7" s="310" t="s">
        <v>232</v>
      </c>
      <c r="C7" s="310"/>
      <c r="D7" s="274"/>
      <c r="E7" s="274"/>
      <c r="F7" s="311" t="s">
        <v>224</v>
      </c>
      <c r="G7" s="311"/>
      <c r="H7" s="311"/>
      <c r="I7" s="303">
        <v>43152</v>
      </c>
    </row>
    <row r="8" spans="1:9" x14ac:dyDescent="0.25">
      <c r="A8" s="274" t="s">
        <v>176</v>
      </c>
      <c r="B8" s="314" t="s">
        <v>233</v>
      </c>
      <c r="C8" s="314"/>
      <c r="D8" s="274"/>
      <c r="E8" s="274"/>
      <c r="F8" s="311" t="s">
        <v>225</v>
      </c>
      <c r="G8" s="311"/>
      <c r="H8" s="311"/>
      <c r="I8" s="275" t="s">
        <v>234</v>
      </c>
    </row>
    <row r="9" spans="1:9" x14ac:dyDescent="0.25">
      <c r="A9" s="274"/>
      <c r="B9" s="274"/>
      <c r="C9" s="274"/>
      <c r="D9" s="274"/>
      <c r="E9" s="274"/>
      <c r="F9" s="274"/>
      <c r="G9" s="274"/>
      <c r="H9" s="274"/>
      <c r="I9" s="274"/>
    </row>
    <row r="10" spans="1:9" x14ac:dyDescent="0.25">
      <c r="A10" s="274"/>
      <c r="B10" s="274"/>
      <c r="C10" s="274"/>
      <c r="D10" s="274"/>
      <c r="E10" s="274"/>
      <c r="F10" s="274"/>
      <c r="G10" s="274"/>
      <c r="H10" s="274"/>
      <c r="I10" s="274"/>
    </row>
    <row r="11" spans="1:9" ht="21.75" customHeight="1" x14ac:dyDescent="0.25">
      <c r="A11" s="315" t="s">
        <v>200</v>
      </c>
      <c r="B11" s="316"/>
      <c r="C11" s="316"/>
      <c r="D11" s="316"/>
      <c r="E11" s="316"/>
      <c r="F11" s="316"/>
      <c r="G11" s="316"/>
      <c r="H11" s="316"/>
      <c r="I11" s="317"/>
    </row>
    <row r="12" spans="1:9" ht="15" x14ac:dyDescent="0.25">
      <c r="A12" s="318" t="s">
        <v>178</v>
      </c>
      <c r="B12" s="319"/>
      <c r="C12" s="319"/>
      <c r="D12" s="319"/>
      <c r="E12" s="319"/>
      <c r="F12" s="319"/>
      <c r="G12" s="319"/>
      <c r="H12" s="319"/>
      <c r="I12" s="320"/>
    </row>
    <row r="13" spans="1:9" x14ac:dyDescent="0.25">
      <c r="A13" s="277"/>
      <c r="B13" s="278"/>
      <c r="C13" s="278"/>
      <c r="D13" s="278"/>
      <c r="E13" s="278"/>
      <c r="F13" s="278"/>
      <c r="G13" s="278"/>
      <c r="H13" s="278"/>
      <c r="I13" s="279"/>
    </row>
    <row r="14" spans="1:9" x14ac:dyDescent="0.25">
      <c r="A14" s="280" t="s">
        <v>179</v>
      </c>
      <c r="B14" s="278"/>
      <c r="C14" s="278"/>
      <c r="D14" s="278"/>
      <c r="E14" s="278"/>
      <c r="F14" s="278"/>
      <c r="G14" s="278"/>
      <c r="H14" s="278"/>
      <c r="I14" s="279"/>
    </row>
    <row r="15" spans="1:9" x14ac:dyDescent="0.25">
      <c r="A15" s="281" t="s">
        <v>180</v>
      </c>
      <c r="B15" s="310" t="s">
        <v>239</v>
      </c>
      <c r="C15" s="310"/>
      <c r="D15" s="278"/>
      <c r="E15" s="282" t="s">
        <v>181</v>
      </c>
      <c r="F15" s="275">
        <v>1543</v>
      </c>
      <c r="G15" s="278"/>
      <c r="H15" s="278"/>
      <c r="I15" s="279"/>
    </row>
    <row r="16" spans="1:9" x14ac:dyDescent="0.25">
      <c r="A16" s="283"/>
      <c r="B16" s="284"/>
      <c r="C16" s="284"/>
      <c r="D16" s="284"/>
      <c r="E16" s="284"/>
      <c r="F16" s="284"/>
      <c r="G16" s="284"/>
      <c r="H16" s="284"/>
      <c r="I16" s="285"/>
    </row>
    <row r="17" spans="1:9" ht="33" x14ac:dyDescent="0.25">
      <c r="A17" s="283"/>
      <c r="B17" s="284"/>
      <c r="C17" s="284"/>
      <c r="D17" s="284"/>
      <c r="E17" s="284"/>
      <c r="F17" s="288" t="s">
        <v>187</v>
      </c>
      <c r="G17" s="288"/>
      <c r="H17" s="289" t="s">
        <v>222</v>
      </c>
      <c r="I17" s="287" t="s">
        <v>183</v>
      </c>
    </row>
    <row r="18" spans="1:9" ht="21.75" customHeight="1" x14ac:dyDescent="0.25">
      <c r="A18" s="286" t="s">
        <v>201</v>
      </c>
      <c r="B18" s="284"/>
      <c r="C18" s="284"/>
      <c r="D18" s="284"/>
      <c r="E18" s="284"/>
      <c r="F18" s="284"/>
      <c r="G18" s="284"/>
      <c r="H18" s="284"/>
      <c r="I18" s="285"/>
    </row>
    <row r="19" spans="1:9" ht="21.75" customHeight="1" x14ac:dyDescent="0.25">
      <c r="A19" s="322" t="s">
        <v>202</v>
      </c>
      <c r="B19" s="312"/>
      <c r="C19" s="312"/>
      <c r="D19" s="312"/>
      <c r="E19" s="312"/>
      <c r="F19" s="312"/>
      <c r="G19" s="290"/>
      <c r="H19" s="291">
        <v>2.2000000000000002</v>
      </c>
      <c r="I19" s="285"/>
    </row>
    <row r="20" spans="1:9" ht="21.75" customHeight="1" x14ac:dyDescent="0.25">
      <c r="A20" s="322" t="s">
        <v>203</v>
      </c>
      <c r="B20" s="312"/>
      <c r="C20" s="312"/>
      <c r="D20" s="312"/>
      <c r="E20" s="312"/>
      <c r="F20" s="312"/>
      <c r="G20" s="290"/>
      <c r="H20" s="292">
        <v>0.13</v>
      </c>
      <c r="I20" s="285"/>
    </row>
    <row r="21" spans="1:9" ht="21.75" customHeight="1" x14ac:dyDescent="0.25">
      <c r="A21" s="300"/>
      <c r="B21" s="290"/>
      <c r="C21" s="290"/>
      <c r="D21" s="290"/>
      <c r="E21" s="290"/>
      <c r="F21" s="290"/>
      <c r="G21" s="290"/>
      <c r="H21" s="301"/>
      <c r="I21" s="285"/>
    </row>
    <row r="22" spans="1:9" ht="21.75" customHeight="1" x14ac:dyDescent="0.25">
      <c r="A22" s="286" t="s">
        <v>204</v>
      </c>
      <c r="B22" s="290"/>
      <c r="C22" s="290"/>
      <c r="D22" s="290"/>
      <c r="E22" s="290"/>
      <c r="F22" s="290"/>
      <c r="G22" s="290"/>
      <c r="H22" s="302"/>
      <c r="I22" s="285"/>
    </row>
    <row r="23" spans="1:9" ht="21.75" customHeight="1" x14ac:dyDescent="0.25">
      <c r="A23" s="322" t="s">
        <v>205</v>
      </c>
      <c r="B23" s="312"/>
      <c r="C23" s="312"/>
      <c r="D23" s="312"/>
      <c r="E23" s="312"/>
      <c r="F23" s="312"/>
      <c r="G23" s="290"/>
      <c r="H23" s="291" t="s">
        <v>243</v>
      </c>
      <c r="I23" s="285"/>
    </row>
    <row r="24" spans="1:9" ht="21.75" customHeight="1" x14ac:dyDescent="0.3">
      <c r="A24" s="322" t="s">
        <v>206</v>
      </c>
      <c r="B24" s="312"/>
      <c r="C24" s="312"/>
      <c r="D24" s="312"/>
      <c r="E24" s="312"/>
      <c r="F24" s="312"/>
      <c r="G24" s="290"/>
      <c r="H24" s="291" t="s">
        <v>243</v>
      </c>
      <c r="I24" s="293"/>
    </row>
    <row r="25" spans="1:9" ht="21.75" customHeight="1" x14ac:dyDescent="0.3">
      <c r="A25" s="322" t="s">
        <v>207</v>
      </c>
      <c r="B25" s="312"/>
      <c r="C25" s="312"/>
      <c r="D25" s="312"/>
      <c r="E25" s="312"/>
      <c r="F25" s="312"/>
      <c r="G25" s="290"/>
      <c r="H25" s="291">
        <v>0.15</v>
      </c>
      <c r="I25" s="293"/>
    </row>
    <row r="26" spans="1:9" ht="21" customHeight="1" x14ac:dyDescent="0.3">
      <c r="A26" s="322" t="s">
        <v>208</v>
      </c>
      <c r="B26" s="312"/>
      <c r="C26" s="312"/>
      <c r="D26" s="312"/>
      <c r="E26" s="312"/>
      <c r="F26" s="312"/>
      <c r="G26" s="290"/>
      <c r="H26" s="292">
        <v>2</v>
      </c>
      <c r="I26" s="293"/>
    </row>
    <row r="27" spans="1:9" ht="21" customHeight="1" x14ac:dyDescent="0.3">
      <c r="A27" s="324"/>
      <c r="B27" s="325"/>
      <c r="C27" s="325"/>
      <c r="D27" s="325"/>
      <c r="E27" s="325"/>
      <c r="F27" s="325"/>
      <c r="G27" s="290"/>
      <c r="H27" s="292"/>
      <c r="I27" s="293"/>
    </row>
    <row r="28" spans="1:9" ht="20.25" customHeight="1" x14ac:dyDescent="0.3">
      <c r="A28" s="324"/>
      <c r="B28" s="325"/>
      <c r="C28" s="325"/>
      <c r="D28" s="325"/>
      <c r="E28" s="325"/>
      <c r="F28" s="325"/>
      <c r="G28" s="290"/>
      <c r="H28" s="292"/>
      <c r="I28" s="293"/>
    </row>
    <row r="29" spans="1:9" ht="21.75" customHeight="1" x14ac:dyDescent="0.25">
      <c r="A29" s="283"/>
      <c r="B29" s="284"/>
      <c r="C29" s="284"/>
      <c r="D29" s="284"/>
      <c r="E29" s="284"/>
      <c r="F29" s="284"/>
      <c r="G29" s="284"/>
      <c r="H29" s="284"/>
      <c r="I29" s="285"/>
    </row>
    <row r="30" spans="1:9" x14ac:dyDescent="0.25">
      <c r="A30" s="286" t="s">
        <v>209</v>
      </c>
      <c r="B30" s="284"/>
      <c r="C30" s="284"/>
      <c r="D30" s="284"/>
      <c r="E30" s="284"/>
      <c r="F30" s="284"/>
      <c r="G30" s="284"/>
      <c r="H30" s="284"/>
      <c r="I30" s="285"/>
    </row>
    <row r="31" spans="1:9" ht="21" customHeight="1" x14ac:dyDescent="0.25">
      <c r="A31" s="326" t="s">
        <v>223</v>
      </c>
      <c r="B31" s="327"/>
      <c r="C31" s="327"/>
      <c r="D31" s="327"/>
      <c r="E31" s="327"/>
      <c r="F31" s="327"/>
      <c r="G31" s="294"/>
      <c r="H31" s="294"/>
      <c r="I31" s="295"/>
    </row>
    <row r="32" spans="1:9" ht="21" customHeight="1" x14ac:dyDescent="0.25">
      <c r="A32" s="296"/>
      <c r="B32" s="296"/>
      <c r="C32" s="296"/>
      <c r="D32" s="296"/>
      <c r="E32" s="296"/>
      <c r="F32" s="296"/>
    </row>
    <row r="34" spans="1:9" x14ac:dyDescent="0.25">
      <c r="A34" s="298" t="s">
        <v>197</v>
      </c>
      <c r="C34" s="323" t="s">
        <v>244</v>
      </c>
      <c r="D34" s="323"/>
      <c r="E34" s="284"/>
      <c r="G34" s="299" t="s">
        <v>198</v>
      </c>
      <c r="H34" s="355">
        <v>42806</v>
      </c>
      <c r="I34" s="355"/>
    </row>
  </sheetData>
  <mergeCells count="21">
    <mergeCell ref="H34:I34"/>
    <mergeCell ref="B8:C8"/>
    <mergeCell ref="B15:C15"/>
    <mergeCell ref="A19:F19"/>
    <mergeCell ref="A20:F20"/>
    <mergeCell ref="A23:F23"/>
    <mergeCell ref="F8:H8"/>
    <mergeCell ref="A11:I11"/>
    <mergeCell ref="A12:I12"/>
    <mergeCell ref="C34:D34"/>
    <mergeCell ref="A28:F28"/>
    <mergeCell ref="A31:F31"/>
    <mergeCell ref="A24:F24"/>
    <mergeCell ref="A25:F25"/>
    <mergeCell ref="A26:F26"/>
    <mergeCell ref="A27:F27"/>
    <mergeCell ref="A1:I1"/>
    <mergeCell ref="B4:C4"/>
    <mergeCell ref="F4:H4"/>
    <mergeCell ref="B7:C7"/>
    <mergeCell ref="F7:H7"/>
  </mergeCells>
  <phoneticPr fontId="78" type="noConversion"/>
  <pageMargins left="0.25" right="0.25" top="0.75" bottom="0.75" header="0.3" footer="0.3"/>
  <pageSetup orientation="portrait" r:id="rId1"/>
  <drawing r:id="rId2"/>
  <legacyDrawing r:id="rId3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9217" r:id="rId4" name="Check Box 1">
              <controlPr defaultSize="0" autoFill="0" autoLine="0" autoPict="0">
                <anchor moveWithCells="1">
                  <from>
                    <xdr:col>8</xdr:col>
                    <xdr:colOff>38100</xdr:colOff>
                    <xdr:row>18</xdr:row>
                    <xdr:rowOff>38100</xdr:rowOff>
                  </from>
                  <to>
                    <xdr:col>8</xdr:col>
                    <xdr:colOff>342900</xdr:colOff>
                    <xdr:row>18</xdr:row>
                    <xdr:rowOff>257175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9218" r:id="rId5" name="Check Box 2">
              <controlPr defaultSize="0" autoFill="0" autoLine="0" autoPict="0">
                <anchor moveWithCells="1">
                  <from>
                    <xdr:col>8</xdr:col>
                    <xdr:colOff>657225</xdr:colOff>
                    <xdr:row>18</xdr:row>
                    <xdr:rowOff>38100</xdr:rowOff>
                  </from>
                  <to>
                    <xdr:col>8</xdr:col>
                    <xdr:colOff>962025</xdr:colOff>
                    <xdr:row>18</xdr:row>
                    <xdr:rowOff>257175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9219" r:id="rId6" name="Check Box 3">
              <controlPr defaultSize="0" autoFill="0" autoLine="0" autoPict="0">
                <anchor moveWithCells="1">
                  <from>
                    <xdr:col>8</xdr:col>
                    <xdr:colOff>38100</xdr:colOff>
                    <xdr:row>19</xdr:row>
                    <xdr:rowOff>38100</xdr:rowOff>
                  </from>
                  <to>
                    <xdr:col>8</xdr:col>
                    <xdr:colOff>342900</xdr:colOff>
                    <xdr:row>19</xdr:row>
                    <xdr:rowOff>257175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9220" r:id="rId7" name="Check Box 4">
              <controlPr defaultSize="0" autoFill="0" autoLine="0" autoPict="0">
                <anchor moveWithCells="1">
                  <from>
                    <xdr:col>8</xdr:col>
                    <xdr:colOff>657225</xdr:colOff>
                    <xdr:row>19</xdr:row>
                    <xdr:rowOff>38100</xdr:rowOff>
                  </from>
                  <to>
                    <xdr:col>8</xdr:col>
                    <xdr:colOff>962025</xdr:colOff>
                    <xdr:row>19</xdr:row>
                    <xdr:rowOff>257175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9221" r:id="rId8" name="Check Box 5">
              <controlPr defaultSize="0" autoFill="0" autoLine="0" autoPict="0">
                <anchor moveWithCells="1">
                  <from>
                    <xdr:col>8</xdr:col>
                    <xdr:colOff>38100</xdr:colOff>
                    <xdr:row>22</xdr:row>
                    <xdr:rowOff>38100</xdr:rowOff>
                  </from>
                  <to>
                    <xdr:col>8</xdr:col>
                    <xdr:colOff>342900</xdr:colOff>
                    <xdr:row>22</xdr:row>
                    <xdr:rowOff>257175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9222" r:id="rId9" name="Check Box 6">
              <controlPr defaultSize="0" autoFill="0" autoLine="0" autoPict="0">
                <anchor moveWithCells="1">
                  <from>
                    <xdr:col>8</xdr:col>
                    <xdr:colOff>657225</xdr:colOff>
                    <xdr:row>22</xdr:row>
                    <xdr:rowOff>38100</xdr:rowOff>
                  </from>
                  <to>
                    <xdr:col>8</xdr:col>
                    <xdr:colOff>962025</xdr:colOff>
                    <xdr:row>22</xdr:row>
                    <xdr:rowOff>257175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9223" r:id="rId10" name="Check Box 7">
              <controlPr defaultSize="0" autoFill="0" autoLine="0" autoPict="0">
                <anchor moveWithCells="1">
                  <from>
                    <xdr:col>8</xdr:col>
                    <xdr:colOff>38100</xdr:colOff>
                    <xdr:row>25</xdr:row>
                    <xdr:rowOff>38100</xdr:rowOff>
                  </from>
                  <to>
                    <xdr:col>8</xdr:col>
                    <xdr:colOff>342900</xdr:colOff>
                    <xdr:row>25</xdr:row>
                    <xdr:rowOff>257175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9224" r:id="rId11" name="Check Box 8">
              <controlPr defaultSize="0" autoFill="0" autoLine="0" autoPict="0">
                <anchor moveWithCells="1">
                  <from>
                    <xdr:col>8</xdr:col>
                    <xdr:colOff>657225</xdr:colOff>
                    <xdr:row>25</xdr:row>
                    <xdr:rowOff>38100</xdr:rowOff>
                  </from>
                  <to>
                    <xdr:col>8</xdr:col>
                    <xdr:colOff>962025</xdr:colOff>
                    <xdr:row>25</xdr:row>
                    <xdr:rowOff>257175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9225" r:id="rId12" name="Check Box 9">
              <controlPr defaultSize="0" autoFill="0" autoLine="0" autoPict="0">
                <anchor moveWithCells="1">
                  <from>
                    <xdr:col>8</xdr:col>
                    <xdr:colOff>38100</xdr:colOff>
                    <xdr:row>30</xdr:row>
                    <xdr:rowOff>38100</xdr:rowOff>
                  </from>
                  <to>
                    <xdr:col>8</xdr:col>
                    <xdr:colOff>342900</xdr:colOff>
                    <xdr:row>30</xdr:row>
                    <xdr:rowOff>257175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9226" r:id="rId13" name="Check Box 10">
              <controlPr defaultSize="0" autoFill="0" autoLine="0" autoPict="0">
                <anchor moveWithCells="1">
                  <from>
                    <xdr:col>8</xdr:col>
                    <xdr:colOff>657225</xdr:colOff>
                    <xdr:row>30</xdr:row>
                    <xdr:rowOff>38100</xdr:rowOff>
                  </from>
                  <to>
                    <xdr:col>8</xdr:col>
                    <xdr:colOff>962025</xdr:colOff>
                    <xdr:row>30</xdr:row>
                    <xdr:rowOff>257175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9227" r:id="rId14" name="Check Box 11">
              <controlPr defaultSize="0" autoFill="0" autoLine="0" autoPict="0">
                <anchor moveWithCells="1">
                  <from>
                    <xdr:col>8</xdr:col>
                    <xdr:colOff>38100</xdr:colOff>
                    <xdr:row>24</xdr:row>
                    <xdr:rowOff>38100</xdr:rowOff>
                  </from>
                  <to>
                    <xdr:col>8</xdr:col>
                    <xdr:colOff>342900</xdr:colOff>
                    <xdr:row>24</xdr:row>
                    <xdr:rowOff>257175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9228" r:id="rId15" name="Check Box 12">
              <controlPr defaultSize="0" autoFill="0" autoLine="0" autoPict="0">
                <anchor moveWithCells="1">
                  <from>
                    <xdr:col>8</xdr:col>
                    <xdr:colOff>657225</xdr:colOff>
                    <xdr:row>24</xdr:row>
                    <xdr:rowOff>38100</xdr:rowOff>
                  </from>
                  <to>
                    <xdr:col>8</xdr:col>
                    <xdr:colOff>962025</xdr:colOff>
                    <xdr:row>24</xdr:row>
                    <xdr:rowOff>257175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9229" r:id="rId16" name="Check Box 13">
              <controlPr defaultSize="0" autoFill="0" autoLine="0" autoPict="0">
                <anchor moveWithCells="1">
                  <from>
                    <xdr:col>8</xdr:col>
                    <xdr:colOff>38100</xdr:colOff>
                    <xdr:row>23</xdr:row>
                    <xdr:rowOff>38100</xdr:rowOff>
                  </from>
                  <to>
                    <xdr:col>8</xdr:col>
                    <xdr:colOff>342900</xdr:colOff>
                    <xdr:row>23</xdr:row>
                    <xdr:rowOff>257175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9230" r:id="rId17" name="Check Box 14">
              <controlPr defaultSize="0" autoFill="0" autoLine="0" autoPict="0">
                <anchor moveWithCells="1">
                  <from>
                    <xdr:col>8</xdr:col>
                    <xdr:colOff>657225</xdr:colOff>
                    <xdr:row>23</xdr:row>
                    <xdr:rowOff>38100</xdr:rowOff>
                  </from>
                  <to>
                    <xdr:col>8</xdr:col>
                    <xdr:colOff>962025</xdr:colOff>
                    <xdr:row>23</xdr:row>
                    <xdr:rowOff>257175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9231" r:id="rId18" name="Check Box 15">
              <controlPr defaultSize="0" autoFill="0" autoLine="0" autoPict="0">
                <anchor moveWithCells="1">
                  <from>
                    <xdr:col>8</xdr:col>
                    <xdr:colOff>38100</xdr:colOff>
                    <xdr:row>26</xdr:row>
                    <xdr:rowOff>38100</xdr:rowOff>
                  </from>
                  <to>
                    <xdr:col>8</xdr:col>
                    <xdr:colOff>342900</xdr:colOff>
                    <xdr:row>26</xdr:row>
                    <xdr:rowOff>257175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9232" r:id="rId19" name="Check Box 16">
              <controlPr defaultSize="0" autoFill="0" autoLine="0" autoPict="0">
                <anchor moveWithCells="1">
                  <from>
                    <xdr:col>8</xdr:col>
                    <xdr:colOff>657225</xdr:colOff>
                    <xdr:row>26</xdr:row>
                    <xdr:rowOff>38100</xdr:rowOff>
                  </from>
                  <to>
                    <xdr:col>8</xdr:col>
                    <xdr:colOff>962025</xdr:colOff>
                    <xdr:row>26</xdr:row>
                    <xdr:rowOff>257175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9233" r:id="rId20" name="Check Box 17">
              <controlPr defaultSize="0" autoFill="0" autoLine="0" autoPict="0">
                <anchor moveWithCells="1">
                  <from>
                    <xdr:col>8</xdr:col>
                    <xdr:colOff>38100</xdr:colOff>
                    <xdr:row>27</xdr:row>
                    <xdr:rowOff>38100</xdr:rowOff>
                  </from>
                  <to>
                    <xdr:col>8</xdr:col>
                    <xdr:colOff>342900</xdr:colOff>
                    <xdr:row>28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9234" r:id="rId21" name="Check Box 18">
              <controlPr defaultSize="0" autoFill="0" autoLine="0" autoPict="0">
                <anchor moveWithCells="1">
                  <from>
                    <xdr:col>8</xdr:col>
                    <xdr:colOff>657225</xdr:colOff>
                    <xdr:row>27</xdr:row>
                    <xdr:rowOff>38100</xdr:rowOff>
                  </from>
                  <to>
                    <xdr:col>8</xdr:col>
                    <xdr:colOff>962025</xdr:colOff>
                    <xdr:row>28</xdr:row>
                    <xdr:rowOff>0</xdr:rowOff>
                  </to>
                </anchor>
              </controlPr>
            </control>
          </mc:Choice>
        </mc:AlternateContent>
      </controls>
    </mc:Choice>
  </mc:AlternateContent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>
    <pageSetUpPr fitToPage="1"/>
  </sheetPr>
  <dimension ref="A3:R46"/>
  <sheetViews>
    <sheetView topLeftCell="C1" workbookViewId="0">
      <selection activeCell="M45" sqref="M45"/>
    </sheetView>
  </sheetViews>
  <sheetFormatPr defaultColWidth="9.5703125" defaultRowHeight="12.75" x14ac:dyDescent="0.2"/>
  <cols>
    <col min="1" max="1" width="6.5703125" customWidth="1"/>
    <col min="2" max="2" width="8.85546875" customWidth="1"/>
    <col min="3" max="3" width="19.42578125" customWidth="1"/>
    <col min="4" max="4" width="8.7109375" customWidth="1"/>
    <col min="5" max="5" width="17.28515625" customWidth="1"/>
    <col min="6" max="6" width="8.5703125" customWidth="1"/>
    <col min="7" max="7" width="14.5703125" customWidth="1"/>
    <col min="8" max="8" width="8.28515625" customWidth="1"/>
    <col min="9" max="9" width="17.42578125" customWidth="1"/>
    <col min="10" max="10" width="9.140625" customWidth="1"/>
    <col min="11" max="11" width="14.85546875" customWidth="1"/>
    <col min="12" max="12" width="9.28515625" customWidth="1"/>
    <col min="13" max="13" width="17.140625" customWidth="1"/>
    <col min="14" max="14" width="9.140625" customWidth="1"/>
    <col min="15" max="15" width="16.28515625" customWidth="1"/>
    <col min="16" max="16" width="8.5703125" customWidth="1"/>
    <col min="17" max="17" width="19.42578125" customWidth="1"/>
    <col min="18" max="18" width="4.85546875" customWidth="1"/>
    <col min="19" max="255" width="9.140625" customWidth="1"/>
  </cols>
  <sheetData>
    <row r="3" spans="1:18" ht="20.25" x14ac:dyDescent="0.3">
      <c r="G3" s="146" t="s">
        <v>114</v>
      </c>
    </row>
    <row r="5" spans="1:18" ht="15.75" x14ac:dyDescent="0.25">
      <c r="B5" s="356" t="s">
        <v>126</v>
      </c>
      <c r="C5" s="356"/>
      <c r="D5" s="148">
        <f>IF('New Source Calibration'!B3="","",'New Source Calibration'!B3)</f>
        <v>39</v>
      </c>
      <c r="G5" s="147"/>
      <c r="H5" s="147"/>
      <c r="I5" s="147" t="s">
        <v>130</v>
      </c>
      <c r="J5" s="147"/>
      <c r="K5" s="147"/>
      <c r="L5" s="207">
        <f>IF('New Source Calibration'!B34="","",'New Source Calibration'!B34)</f>
        <v>447.5</v>
      </c>
      <c r="M5" s="147" t="s">
        <v>129</v>
      </c>
      <c r="N5" s="147"/>
      <c r="O5" s="147" t="s">
        <v>131</v>
      </c>
      <c r="P5" s="358" t="str">
        <f>IF('New Source Calibration'!E4="","",'New Source Calibration'!E4)</f>
        <v>NLF 01 D85E2431</v>
      </c>
      <c r="Q5" s="358"/>
    </row>
    <row r="6" spans="1:18" ht="15.75" x14ac:dyDescent="0.25">
      <c r="B6" s="147" t="s">
        <v>127</v>
      </c>
      <c r="C6" s="147"/>
      <c r="D6" s="147"/>
      <c r="E6" s="357">
        <f>IF('New Source Calibration'!B4="","",'New Source Calibration'!B4)</f>
        <v>43171.575694444444</v>
      </c>
      <c r="F6" s="357"/>
      <c r="G6" s="147"/>
      <c r="H6" s="147"/>
      <c r="I6" s="147" t="s">
        <v>128</v>
      </c>
      <c r="J6" s="147"/>
      <c r="K6" s="147"/>
      <c r="L6" s="357">
        <f>IF('New Source Calibration'!B35="","",'New Source Calibration'!B35)</f>
        <v>43152.873611111114</v>
      </c>
      <c r="M6" s="357"/>
      <c r="N6" s="147"/>
      <c r="O6" s="147"/>
      <c r="P6" s="147"/>
    </row>
    <row r="7" spans="1:18" ht="16.5" thickBot="1" x14ac:dyDescent="0.3">
      <c r="C7" s="147"/>
      <c r="D7" s="147"/>
      <c r="E7" s="148" t="s">
        <v>51</v>
      </c>
      <c r="F7" s="147"/>
      <c r="G7" s="147"/>
      <c r="H7" s="147"/>
      <c r="I7" s="147"/>
      <c r="J7" s="147"/>
      <c r="K7" s="147"/>
      <c r="L7" s="147"/>
      <c r="M7" s="147"/>
      <c r="N7" s="147"/>
      <c r="O7" s="147"/>
      <c r="Q7" s="149" t="s">
        <v>51</v>
      </c>
    </row>
    <row r="8" spans="1:18" ht="20.100000000000001" customHeight="1" thickTop="1" x14ac:dyDescent="0.25">
      <c r="B8" s="150" t="s">
        <v>115</v>
      </c>
      <c r="C8" s="151" t="s">
        <v>116</v>
      </c>
      <c r="D8" s="152" t="s">
        <v>115</v>
      </c>
      <c r="E8" s="153" t="s">
        <v>117</v>
      </c>
      <c r="F8" s="150" t="s">
        <v>115</v>
      </c>
      <c r="G8" s="152" t="s">
        <v>116</v>
      </c>
      <c r="H8" s="152" t="s">
        <v>115</v>
      </c>
      <c r="I8" s="153" t="s">
        <v>117</v>
      </c>
      <c r="J8" s="150" t="s">
        <v>115</v>
      </c>
      <c r="K8" s="152" t="s">
        <v>116</v>
      </c>
      <c r="L8" s="152" t="s">
        <v>115</v>
      </c>
      <c r="M8" s="153" t="s">
        <v>117</v>
      </c>
      <c r="N8" s="150" t="s">
        <v>115</v>
      </c>
      <c r="O8" s="154" t="s">
        <v>116</v>
      </c>
      <c r="P8" s="152" t="s">
        <v>115</v>
      </c>
      <c r="Q8" s="153" t="s">
        <v>117</v>
      </c>
    </row>
    <row r="9" spans="1:18" ht="20.100000000000001" customHeight="1" thickBot="1" x14ac:dyDescent="0.3">
      <c r="A9" s="155"/>
      <c r="B9" s="156" t="s">
        <v>118</v>
      </c>
      <c r="C9" s="157" t="s">
        <v>119</v>
      </c>
      <c r="D9" s="158"/>
      <c r="E9" s="159" t="s">
        <v>120</v>
      </c>
      <c r="F9" s="156" t="s">
        <v>118</v>
      </c>
      <c r="G9" s="157" t="s">
        <v>119</v>
      </c>
      <c r="H9" s="158"/>
      <c r="I9" s="159" t="s">
        <v>120</v>
      </c>
      <c r="J9" s="156" t="s">
        <v>118</v>
      </c>
      <c r="K9" s="157" t="s">
        <v>119</v>
      </c>
      <c r="L9" s="158"/>
      <c r="M9" s="159" t="s">
        <v>120</v>
      </c>
      <c r="N9" s="156" t="s">
        <v>118</v>
      </c>
      <c r="O9" s="157" t="s">
        <v>119</v>
      </c>
      <c r="P9" s="158"/>
      <c r="Q9" s="159" t="s">
        <v>120</v>
      </c>
    </row>
    <row r="10" spans="1:18" s="205" customFormat="1" ht="15.95" customHeight="1" thickTop="1" x14ac:dyDescent="0.25">
      <c r="A10" s="204"/>
      <c r="B10" s="160">
        <v>1</v>
      </c>
      <c r="C10" s="161">
        <v>43171.5</v>
      </c>
      <c r="D10" s="162">
        <f>IF(C10="","",C10)</f>
        <v>43171.5</v>
      </c>
      <c r="E10" s="163">
        <f>IF('New Source Calibration'!B34="","",110*'New Source Calibration'!B34*(EXP(-0.693*(C10-'New Source Calibration'!B36)/73.831)))</f>
        <v>41232.309238362424</v>
      </c>
      <c r="F10" s="160">
        <f>B39+1</f>
        <v>31</v>
      </c>
      <c r="G10" s="164">
        <f>IF(C39="","",C39+1)</f>
        <v>43201.5</v>
      </c>
      <c r="H10" s="165">
        <f>IF(G10="","",G10)</f>
        <v>43201.5</v>
      </c>
      <c r="I10" s="166">
        <f>IF($E$10="","",$E$10*EXP(-0.693*(G10-$C$10)/73.831))</f>
        <v>31113.229650568243</v>
      </c>
      <c r="J10" s="160">
        <f>F39+1</f>
        <v>61</v>
      </c>
      <c r="K10" s="161">
        <f>IF(G39="","",G39+1)</f>
        <v>43231.5</v>
      </c>
      <c r="L10" s="162">
        <f>IF(K10="","",K10)</f>
        <v>43231.5</v>
      </c>
      <c r="M10" s="163">
        <f>IF($E$10="","",$E$10*EXP(-0.693*(K10-$C$10)/73.831))</f>
        <v>23477.53684356693</v>
      </c>
      <c r="N10" s="160">
        <f>J39+1</f>
        <v>91</v>
      </c>
      <c r="O10" s="164">
        <f>IF(K39="","",K39+1)</f>
        <v>43261.5</v>
      </c>
      <c r="P10" s="165">
        <f>IF(O10="","",O10)</f>
        <v>43261.5</v>
      </c>
      <c r="Q10" s="167">
        <f>IF($E$10="","",$E$10*EXP(-0.693*(O10-$C$10)/73.831))</f>
        <v>17715.767293575573</v>
      </c>
    </row>
    <row r="11" spans="1:18" ht="15.95" customHeight="1" x14ac:dyDescent="0.25">
      <c r="A11" s="155"/>
      <c r="B11" s="168">
        <f t="shared" ref="B11:B26" si="0">B10+1</f>
        <v>2</v>
      </c>
      <c r="C11" s="169">
        <f>IF(C10="","",C10+1)</f>
        <v>43172.5</v>
      </c>
      <c r="D11" s="162">
        <f t="shared" ref="D11:D39" si="1">C11</f>
        <v>43172.5</v>
      </c>
      <c r="E11" s="170">
        <f>IF($E$10="","",$E$10*EXP(-0.693*(C11-$C$10)/73.831))</f>
        <v>40847.101035107255</v>
      </c>
      <c r="F11" s="168">
        <f t="shared" ref="F11:F26" si="2">F10+1</f>
        <v>32</v>
      </c>
      <c r="G11" s="171">
        <f>IF(G10="","",G10+1)</f>
        <v>43202.5</v>
      </c>
      <c r="H11" s="165">
        <f t="shared" ref="H11:H39" si="3">G11</f>
        <v>43202.5</v>
      </c>
      <c r="I11" s="166">
        <f t="shared" ref="I11:I39" si="4">IF($E$10="","",$E$10*EXP(-0.693*(G11-$C$10)/73.831))</f>
        <v>30822.557808206093</v>
      </c>
      <c r="J11" s="168">
        <f t="shared" ref="J11:J26" si="5">J10+1</f>
        <v>62</v>
      </c>
      <c r="K11" s="169">
        <f>IF(K10="","",K10+1)</f>
        <v>43232.5</v>
      </c>
      <c r="L11" s="162">
        <f t="shared" ref="L11:L39" si="6">K11</f>
        <v>43232.5</v>
      </c>
      <c r="M11" s="163">
        <f t="shared" ref="M11:M39" si="7">IF($E$10="","",$E$10*EXP(-0.693*(K11-$C$10)/73.831))</f>
        <v>23258.200600911059</v>
      </c>
      <c r="N11" s="168">
        <f t="shared" ref="N11:N26" si="8">N10+1</f>
        <v>92</v>
      </c>
      <c r="O11" s="171">
        <f>IF(O10="","",O10+1)</f>
        <v>43262.5</v>
      </c>
      <c r="P11" s="165">
        <f t="shared" ref="P11:P39" si="9">O11</f>
        <v>43262.5</v>
      </c>
      <c r="Q11" s="177">
        <f t="shared" ref="Q11:Q39" si="10">IF($E$10="","",$E$10*EXP(-0.693*(O11-$C$10)/73.831))</f>
        <v>17550.259733739567</v>
      </c>
      <c r="R11" s="172"/>
    </row>
    <row r="12" spans="1:18" s="205" customFormat="1" ht="15.95" customHeight="1" x14ac:dyDescent="0.25">
      <c r="A12" s="204"/>
      <c r="B12" s="173">
        <f t="shared" si="0"/>
        <v>3</v>
      </c>
      <c r="C12" s="174">
        <f t="shared" ref="C12:C39" si="11">IF(C11="","",C11+1)</f>
        <v>43173.5</v>
      </c>
      <c r="D12" s="162">
        <f t="shared" si="1"/>
        <v>43173.5</v>
      </c>
      <c r="E12" s="175">
        <f t="shared" ref="E12:E39" si="12">IF($E$10="","",$E$10*EXP(-0.693*(C12-$C$10)/73.831))</f>
        <v>40465.491596088097</v>
      </c>
      <c r="F12" s="173">
        <f t="shared" si="2"/>
        <v>33</v>
      </c>
      <c r="G12" s="176">
        <f t="shared" ref="G12:G39" si="13">IF(G11="","",G11+1)</f>
        <v>43203.5</v>
      </c>
      <c r="H12" s="165">
        <f t="shared" si="3"/>
        <v>43203.5</v>
      </c>
      <c r="I12" s="166">
        <f t="shared" si="4"/>
        <v>30534.601534780082</v>
      </c>
      <c r="J12" s="173">
        <f t="shared" si="5"/>
        <v>63</v>
      </c>
      <c r="K12" s="174">
        <f t="shared" ref="K12:K39" si="14">IF(K11="","",K11+1)</f>
        <v>43233.5</v>
      </c>
      <c r="L12" s="162">
        <f t="shared" si="6"/>
        <v>43233.5</v>
      </c>
      <c r="M12" s="163">
        <f t="shared" si="7"/>
        <v>23040.913482388736</v>
      </c>
      <c r="N12" s="173">
        <f t="shared" si="8"/>
        <v>93</v>
      </c>
      <c r="O12" s="176">
        <f t="shared" ref="O12:O39" si="15">IF(O11="","",O11+1)</f>
        <v>43263.5</v>
      </c>
      <c r="P12" s="165">
        <f t="shared" si="9"/>
        <v>43263.5</v>
      </c>
      <c r="Q12" s="177">
        <f t="shared" si="10"/>
        <v>17386.298409632953</v>
      </c>
      <c r="R12" s="206"/>
    </row>
    <row r="13" spans="1:18" ht="15.95" customHeight="1" x14ac:dyDescent="0.25">
      <c r="A13" s="155"/>
      <c r="B13" s="168">
        <f t="shared" si="0"/>
        <v>4</v>
      </c>
      <c r="C13" s="169">
        <f t="shared" si="11"/>
        <v>43174.5</v>
      </c>
      <c r="D13" s="162">
        <f t="shared" si="1"/>
        <v>43174.5</v>
      </c>
      <c r="E13" s="170">
        <f t="shared" si="12"/>
        <v>40087.447300255561</v>
      </c>
      <c r="F13" s="168">
        <f t="shared" si="2"/>
        <v>34</v>
      </c>
      <c r="G13" s="171">
        <f t="shared" si="13"/>
        <v>43204.5</v>
      </c>
      <c r="H13" s="165">
        <f t="shared" si="3"/>
        <v>43204.5</v>
      </c>
      <c r="I13" s="166">
        <f t="shared" si="4"/>
        <v>30249.335460393409</v>
      </c>
      <c r="J13" s="168">
        <f t="shared" si="5"/>
        <v>64</v>
      </c>
      <c r="K13" s="169">
        <f t="shared" si="14"/>
        <v>43234.5</v>
      </c>
      <c r="L13" s="162">
        <f t="shared" si="6"/>
        <v>43234.5</v>
      </c>
      <c r="M13" s="163">
        <f t="shared" si="7"/>
        <v>22825.656344288622</v>
      </c>
      <c r="N13" s="168">
        <f t="shared" si="8"/>
        <v>94</v>
      </c>
      <c r="O13" s="171">
        <f t="shared" si="15"/>
        <v>43264.5</v>
      </c>
      <c r="P13" s="165">
        <f t="shared" si="9"/>
        <v>43264.5</v>
      </c>
      <c r="Q13" s="177">
        <f t="shared" si="10"/>
        <v>17223.868875722645</v>
      </c>
      <c r="R13" s="178"/>
    </row>
    <row r="14" spans="1:18" s="205" customFormat="1" ht="15.95" customHeight="1" x14ac:dyDescent="0.25">
      <c r="A14" s="204"/>
      <c r="B14" s="173">
        <f t="shared" si="0"/>
        <v>5</v>
      </c>
      <c r="C14" s="174">
        <f t="shared" si="11"/>
        <v>43175.5</v>
      </c>
      <c r="D14" s="162">
        <f t="shared" si="1"/>
        <v>43175.5</v>
      </c>
      <c r="E14" s="175">
        <f t="shared" si="12"/>
        <v>39712.934840661117</v>
      </c>
      <c r="F14" s="173">
        <f t="shared" si="2"/>
        <v>35</v>
      </c>
      <c r="G14" s="176">
        <f t="shared" si="13"/>
        <v>43205.5</v>
      </c>
      <c r="H14" s="165">
        <f t="shared" si="3"/>
        <v>43205.5</v>
      </c>
      <c r="I14" s="166">
        <f t="shared" si="4"/>
        <v>29966.734452164656</v>
      </c>
      <c r="J14" s="173">
        <f t="shared" si="5"/>
        <v>65</v>
      </c>
      <c r="K14" s="174">
        <f t="shared" si="14"/>
        <v>43235.5</v>
      </c>
      <c r="L14" s="162">
        <f t="shared" si="6"/>
        <v>43235.5</v>
      </c>
      <c r="M14" s="163">
        <f t="shared" si="7"/>
        <v>22612.410221747348</v>
      </c>
      <c r="N14" s="173">
        <f t="shared" si="8"/>
        <v>95</v>
      </c>
      <c r="O14" s="176">
        <f t="shared" si="15"/>
        <v>43265.5</v>
      </c>
      <c r="P14" s="165">
        <f t="shared" si="9"/>
        <v>43265.5</v>
      </c>
      <c r="Q14" s="177">
        <f t="shared" si="10"/>
        <v>17062.956821431329</v>
      </c>
      <c r="R14" s="206"/>
    </row>
    <row r="15" spans="1:18" ht="15.95" customHeight="1" x14ac:dyDescent="0.25">
      <c r="A15" s="155"/>
      <c r="B15" s="168">
        <f t="shared" si="0"/>
        <v>6</v>
      </c>
      <c r="C15" s="169">
        <f t="shared" si="11"/>
        <v>43176.5</v>
      </c>
      <c r="D15" s="162">
        <f t="shared" si="1"/>
        <v>43176.5</v>
      </c>
      <c r="E15" s="170">
        <f t="shared" si="12"/>
        <v>39341.921221522673</v>
      </c>
      <c r="F15" s="168">
        <f t="shared" si="2"/>
        <v>36</v>
      </c>
      <c r="G15" s="171">
        <f t="shared" si="13"/>
        <v>43206.5</v>
      </c>
      <c r="H15" s="165">
        <f t="shared" si="3"/>
        <v>43206.5</v>
      </c>
      <c r="I15" s="166">
        <f t="shared" si="4"/>
        <v>29686.773612013523</v>
      </c>
      <c r="J15" s="168">
        <f t="shared" si="5"/>
        <v>66</v>
      </c>
      <c r="K15" s="169">
        <f t="shared" si="14"/>
        <v>43236.5</v>
      </c>
      <c r="L15" s="162">
        <f t="shared" si="6"/>
        <v>43236.5</v>
      </c>
      <c r="M15" s="163">
        <f t="shared" si="7"/>
        <v>22401.156327078654</v>
      </c>
      <c r="N15" s="168">
        <f t="shared" si="8"/>
        <v>96</v>
      </c>
      <c r="O15" s="171">
        <f t="shared" si="15"/>
        <v>43266.5</v>
      </c>
      <c r="P15" s="165">
        <f t="shared" si="9"/>
        <v>43266.5</v>
      </c>
      <c r="Q15" s="177">
        <f t="shared" si="10"/>
        <v>16903.548069876644</v>
      </c>
    </row>
    <row r="16" spans="1:18" s="205" customFormat="1" ht="15.95" customHeight="1" x14ac:dyDescent="0.25">
      <c r="A16" s="204"/>
      <c r="B16" s="173">
        <f t="shared" si="0"/>
        <v>7</v>
      </c>
      <c r="C16" s="174">
        <f t="shared" si="11"/>
        <v>43177.5</v>
      </c>
      <c r="D16" s="162">
        <f t="shared" si="1"/>
        <v>43177.5</v>
      </c>
      <c r="E16" s="175">
        <f t="shared" si="12"/>
        <v>38974.373755317472</v>
      </c>
      <c r="F16" s="173">
        <f t="shared" si="2"/>
        <v>37</v>
      </c>
      <c r="G16" s="176">
        <f t="shared" si="13"/>
        <v>43207.5</v>
      </c>
      <c r="H16" s="165">
        <f t="shared" si="3"/>
        <v>43207.5</v>
      </c>
      <c r="I16" s="166">
        <f t="shared" si="4"/>
        <v>29409.428274467235</v>
      </c>
      <c r="J16" s="173">
        <f t="shared" si="5"/>
        <v>67</v>
      </c>
      <c r="K16" s="174">
        <f t="shared" si="14"/>
        <v>43237.5</v>
      </c>
      <c r="L16" s="162">
        <f t="shared" si="6"/>
        <v>43237.5</v>
      </c>
      <c r="M16" s="163">
        <f t="shared" si="7"/>
        <v>22191.876048118105</v>
      </c>
      <c r="N16" s="173">
        <f t="shared" si="8"/>
        <v>97</v>
      </c>
      <c r="O16" s="176">
        <f t="shared" si="15"/>
        <v>43267.5</v>
      </c>
      <c r="P16" s="165">
        <f t="shared" si="9"/>
        <v>43267.5</v>
      </c>
      <c r="Q16" s="177">
        <f t="shared" si="10"/>
        <v>16745.628576622155</v>
      </c>
    </row>
    <row r="17" spans="1:17" ht="15.95" customHeight="1" x14ac:dyDescent="0.25">
      <c r="A17" s="155"/>
      <c r="B17" s="168">
        <f t="shared" si="0"/>
        <v>8</v>
      </c>
      <c r="C17" s="169">
        <f t="shared" si="11"/>
        <v>43178.5</v>
      </c>
      <c r="D17" s="162">
        <f t="shared" si="1"/>
        <v>43178.5</v>
      </c>
      <c r="E17" s="170">
        <f t="shared" si="12"/>
        <v>38610.260059902306</v>
      </c>
      <c r="F17" s="168">
        <f t="shared" si="2"/>
        <v>38</v>
      </c>
      <c r="G17" s="171">
        <f t="shared" si="13"/>
        <v>43208.5</v>
      </c>
      <c r="H17" s="165">
        <f t="shared" si="3"/>
        <v>43208.5</v>
      </c>
      <c r="I17" s="166">
        <f t="shared" si="4"/>
        <v>29134.674004487395</v>
      </c>
      <c r="J17" s="168">
        <f t="shared" si="5"/>
        <v>68</v>
      </c>
      <c r="K17" s="169">
        <f t="shared" si="14"/>
        <v>43238.5</v>
      </c>
      <c r="L17" s="162">
        <f t="shared" si="6"/>
        <v>43238.5</v>
      </c>
      <c r="M17" s="163">
        <f t="shared" si="7"/>
        <v>21984.550946583327</v>
      </c>
      <c r="N17" s="168">
        <f t="shared" si="8"/>
        <v>98</v>
      </c>
      <c r="O17" s="171">
        <f t="shared" si="15"/>
        <v>43268.5</v>
      </c>
      <c r="P17" s="165">
        <f t="shared" si="9"/>
        <v>43268.5</v>
      </c>
      <c r="Q17" s="177">
        <f t="shared" si="10"/>
        <v>16589.184428439996</v>
      </c>
    </row>
    <row r="18" spans="1:17" s="205" customFormat="1" ht="15.95" customHeight="1" x14ac:dyDescent="0.25">
      <c r="A18" s="204"/>
      <c r="B18" s="173">
        <f t="shared" si="0"/>
        <v>9</v>
      </c>
      <c r="C18" s="174">
        <f t="shared" si="11"/>
        <v>43179.5</v>
      </c>
      <c r="D18" s="162">
        <f t="shared" si="1"/>
        <v>43179.5</v>
      </c>
      <c r="E18" s="175">
        <f t="shared" si="12"/>
        <v>38249.548055660445</v>
      </c>
      <c r="F18" s="173">
        <f t="shared" si="2"/>
        <v>39</v>
      </c>
      <c r="G18" s="176">
        <f t="shared" si="13"/>
        <v>43209.5</v>
      </c>
      <c r="H18" s="165">
        <f t="shared" si="3"/>
        <v>43209.5</v>
      </c>
      <c r="I18" s="166">
        <f t="shared" si="4"/>
        <v>28862.486595317216</v>
      </c>
      <c r="J18" s="173">
        <f t="shared" si="5"/>
        <v>69</v>
      </c>
      <c r="K18" s="174">
        <f t="shared" si="14"/>
        <v>43239.5</v>
      </c>
      <c r="L18" s="162">
        <f t="shared" si="6"/>
        <v>43239.5</v>
      </c>
      <c r="M18" s="163">
        <f t="shared" si="7"/>
        <v>21779.162756449514</v>
      </c>
      <c r="N18" s="173">
        <f t="shared" si="8"/>
        <v>99</v>
      </c>
      <c r="O18" s="176">
        <f t="shared" si="15"/>
        <v>43269.5</v>
      </c>
      <c r="P18" s="165">
        <f t="shared" si="9"/>
        <v>43269.5</v>
      </c>
      <c r="Q18" s="177">
        <f t="shared" si="10"/>
        <v>16434.201842085058</v>
      </c>
    </row>
    <row r="19" spans="1:17" ht="15.95" customHeight="1" thickBot="1" x14ac:dyDescent="0.3">
      <c r="A19" s="155"/>
      <c r="B19" s="179">
        <f t="shared" si="0"/>
        <v>10</v>
      </c>
      <c r="C19" s="180">
        <f t="shared" si="11"/>
        <v>43180.5</v>
      </c>
      <c r="D19" s="181">
        <f t="shared" si="1"/>
        <v>43180.5</v>
      </c>
      <c r="E19" s="182">
        <f t="shared" si="12"/>
        <v>37892.205962675405</v>
      </c>
      <c r="F19" s="179">
        <f t="shared" si="2"/>
        <v>40</v>
      </c>
      <c r="G19" s="183">
        <f t="shared" si="13"/>
        <v>43210.5</v>
      </c>
      <c r="H19" s="184">
        <f t="shared" si="3"/>
        <v>43210.5</v>
      </c>
      <c r="I19" s="199">
        <f t="shared" si="4"/>
        <v>28592.842066348792</v>
      </c>
      <c r="J19" s="179">
        <f t="shared" si="5"/>
        <v>70</v>
      </c>
      <c r="K19" s="180">
        <f t="shared" si="14"/>
        <v>43240.5</v>
      </c>
      <c r="L19" s="181">
        <f t="shared" si="6"/>
        <v>43240.5</v>
      </c>
      <c r="M19" s="201">
        <f t="shared" si="7"/>
        <v>21575.693382340138</v>
      </c>
      <c r="N19" s="179">
        <f t="shared" si="8"/>
        <v>100</v>
      </c>
      <c r="O19" s="183">
        <f t="shared" si="15"/>
        <v>43270.5</v>
      </c>
      <c r="P19" s="184">
        <f t="shared" si="9"/>
        <v>43270.5</v>
      </c>
      <c r="Q19" s="199">
        <f t="shared" si="10"/>
        <v>16280.667163080654</v>
      </c>
    </row>
    <row r="20" spans="1:17" s="205" customFormat="1" ht="15.95" customHeight="1" x14ac:dyDescent="0.25">
      <c r="A20" s="204"/>
      <c r="B20" s="160">
        <f t="shared" si="0"/>
        <v>11</v>
      </c>
      <c r="C20" s="161">
        <f t="shared" si="11"/>
        <v>43181.5</v>
      </c>
      <c r="D20" s="162">
        <f t="shared" si="1"/>
        <v>43181.5</v>
      </c>
      <c r="E20" s="163">
        <f t="shared" si="12"/>
        <v>37538.202297930948</v>
      </c>
      <c r="F20" s="160">
        <f t="shared" si="2"/>
        <v>41</v>
      </c>
      <c r="G20" s="164">
        <f t="shared" si="13"/>
        <v>43211.5</v>
      </c>
      <c r="H20" s="165">
        <f t="shared" si="3"/>
        <v>43211.5</v>
      </c>
      <c r="I20" s="166">
        <f t="shared" si="4"/>
        <v>28325.716661010363</v>
      </c>
      <c r="J20" s="160">
        <f t="shared" si="5"/>
        <v>71</v>
      </c>
      <c r="K20" s="161">
        <f t="shared" si="14"/>
        <v>43241.5</v>
      </c>
      <c r="L20" s="162">
        <f t="shared" si="6"/>
        <v>43241.5</v>
      </c>
      <c r="M20" s="163">
        <f t="shared" si="7"/>
        <v>21374.124897932696</v>
      </c>
      <c r="N20" s="160">
        <f t="shared" si="8"/>
        <v>101</v>
      </c>
      <c r="O20" s="164">
        <f t="shared" si="15"/>
        <v>43271.5</v>
      </c>
      <c r="P20" s="165">
        <f t="shared" si="9"/>
        <v>43271.5</v>
      </c>
      <c r="Q20" s="166">
        <f t="shared" si="10"/>
        <v>16128.566864515498</v>
      </c>
    </row>
    <row r="21" spans="1:17" ht="15.95" customHeight="1" x14ac:dyDescent="0.25">
      <c r="A21" s="155"/>
      <c r="B21" s="168">
        <f t="shared" si="0"/>
        <v>12</v>
      </c>
      <c r="C21" s="169">
        <f t="shared" si="11"/>
        <v>43182.5</v>
      </c>
      <c r="D21" s="162">
        <f t="shared" si="1"/>
        <v>43182.5</v>
      </c>
      <c r="E21" s="170">
        <f t="shared" si="12"/>
        <v>37187.505872537396</v>
      </c>
      <c r="F21" s="168">
        <f t="shared" si="2"/>
        <v>42</v>
      </c>
      <c r="G21" s="171">
        <f t="shared" si="13"/>
        <v>43212.5</v>
      </c>
      <c r="H21" s="165">
        <f t="shared" si="3"/>
        <v>43212.5</v>
      </c>
      <c r="I21" s="166">
        <f t="shared" si="4"/>
        <v>28061.086844673257</v>
      </c>
      <c r="J21" s="168">
        <f t="shared" si="5"/>
        <v>72</v>
      </c>
      <c r="K21" s="169">
        <f t="shared" si="14"/>
        <v>43242.5</v>
      </c>
      <c r="L21" s="162">
        <f t="shared" si="6"/>
        <v>43242.5</v>
      </c>
      <c r="M21" s="163">
        <f t="shared" si="7"/>
        <v>21174.439544379329</v>
      </c>
      <c r="N21" s="168">
        <f t="shared" si="8"/>
        <v>102</v>
      </c>
      <c r="O21" s="171">
        <f t="shared" si="15"/>
        <v>43272.5</v>
      </c>
      <c r="P21" s="165">
        <f t="shared" si="9"/>
        <v>43272.5</v>
      </c>
      <c r="Q21" s="177">
        <f t="shared" si="10"/>
        <v>15977.887545851958</v>
      </c>
    </row>
    <row r="22" spans="1:17" s="205" customFormat="1" ht="15.95" customHeight="1" x14ac:dyDescent="0.25">
      <c r="A22" s="204"/>
      <c r="B22" s="173">
        <f t="shared" si="0"/>
        <v>13</v>
      </c>
      <c r="C22" s="174">
        <f t="shared" si="11"/>
        <v>43183.5</v>
      </c>
      <c r="D22" s="162">
        <f t="shared" si="1"/>
        <v>43183.5</v>
      </c>
      <c r="E22" s="175">
        <f t="shared" si="12"/>
        <v>36840.085788983764</v>
      </c>
      <c r="F22" s="173">
        <f t="shared" si="2"/>
        <v>43</v>
      </c>
      <c r="G22" s="176">
        <f t="shared" si="13"/>
        <v>43213.5</v>
      </c>
      <c r="H22" s="165">
        <f t="shared" si="3"/>
        <v>43213.5</v>
      </c>
      <c r="I22" s="166">
        <f t="shared" si="4"/>
        <v>27798.929302578406</v>
      </c>
      <c r="J22" s="173">
        <f t="shared" si="5"/>
        <v>73</v>
      </c>
      <c r="K22" s="174">
        <f t="shared" si="14"/>
        <v>43243.5</v>
      </c>
      <c r="L22" s="162">
        <f t="shared" si="6"/>
        <v>43243.5</v>
      </c>
      <c r="M22" s="163">
        <f t="shared" si="7"/>
        <v>20976.619728742207</v>
      </c>
      <c r="N22" s="173">
        <f t="shared" si="8"/>
        <v>103</v>
      </c>
      <c r="O22" s="176">
        <f t="shared" si="15"/>
        <v>43273.5</v>
      </c>
      <c r="P22" s="165">
        <f t="shared" si="9"/>
        <v>43273.5</v>
      </c>
      <c r="Q22" s="177">
        <f t="shared" si="10"/>
        <v>15828.615931745409</v>
      </c>
    </row>
    <row r="23" spans="1:17" ht="15.95" customHeight="1" x14ac:dyDescent="0.25">
      <c r="A23" s="155"/>
      <c r="B23" s="168">
        <f t="shared" si="0"/>
        <v>14</v>
      </c>
      <c r="C23" s="169">
        <f t="shared" si="11"/>
        <v>43184.5</v>
      </c>
      <c r="D23" s="162">
        <f t="shared" si="1"/>
        <v>43184.5</v>
      </c>
      <c r="E23" s="170">
        <f t="shared" si="12"/>
        <v>36495.911438415562</v>
      </c>
      <c r="F23" s="168">
        <f t="shared" si="2"/>
        <v>44</v>
      </c>
      <c r="G23" s="171">
        <f t="shared" si="13"/>
        <v>43214.5</v>
      </c>
      <c r="H23" s="165">
        <f t="shared" si="3"/>
        <v>43214.5</v>
      </c>
      <c r="I23" s="166">
        <f t="shared" si="4"/>
        <v>27539.220937782269</v>
      </c>
      <c r="J23" s="168">
        <f t="shared" si="5"/>
        <v>74</v>
      </c>
      <c r="K23" s="169">
        <f t="shared" si="14"/>
        <v>43244.5</v>
      </c>
      <c r="L23" s="162">
        <f t="shared" si="6"/>
        <v>43244.5</v>
      </c>
      <c r="M23" s="163">
        <f t="shared" si="7"/>
        <v>20780.648022443551</v>
      </c>
      <c r="N23" s="168">
        <f t="shared" si="8"/>
        <v>104</v>
      </c>
      <c r="O23" s="171">
        <f t="shared" si="15"/>
        <v>43274.5</v>
      </c>
      <c r="P23" s="165">
        <f t="shared" si="9"/>
        <v>43274.5</v>
      </c>
      <c r="Q23" s="177">
        <f t="shared" si="10"/>
        <v>15680.738870874638</v>
      </c>
    </row>
    <row r="24" spans="1:17" s="205" customFormat="1" ht="15.95" customHeight="1" x14ac:dyDescent="0.25">
      <c r="A24" s="204"/>
      <c r="B24" s="173">
        <f t="shared" si="0"/>
        <v>15</v>
      </c>
      <c r="C24" s="174">
        <f t="shared" si="11"/>
        <v>43185.5</v>
      </c>
      <c r="D24" s="162">
        <f t="shared" si="1"/>
        <v>43185.5</v>
      </c>
      <c r="E24" s="175">
        <f t="shared" si="12"/>
        <v>36154.952497938088</v>
      </c>
      <c r="F24" s="173">
        <f t="shared" si="2"/>
        <v>45</v>
      </c>
      <c r="G24" s="176">
        <f t="shared" si="13"/>
        <v>43215.5</v>
      </c>
      <c r="H24" s="165">
        <f t="shared" si="3"/>
        <v>43215.5</v>
      </c>
      <c r="I24" s="166">
        <f t="shared" si="4"/>
        <v>27281.938869121896</v>
      </c>
      <c r="J24" s="173">
        <f t="shared" si="5"/>
        <v>75</v>
      </c>
      <c r="K24" s="174">
        <f t="shared" si="14"/>
        <v>43245.5</v>
      </c>
      <c r="L24" s="162">
        <f t="shared" si="6"/>
        <v>43245.5</v>
      </c>
      <c r="M24" s="163">
        <f t="shared" si="7"/>
        <v>20586.507159730099</v>
      </c>
      <c r="N24" s="173">
        <f t="shared" si="8"/>
        <v>105</v>
      </c>
      <c r="O24" s="176">
        <f t="shared" si="15"/>
        <v>43275.5</v>
      </c>
      <c r="P24" s="165">
        <f t="shared" si="9"/>
        <v>43275.5</v>
      </c>
      <c r="Q24" s="177">
        <f t="shared" si="10"/>
        <v>15534.24333478317</v>
      </c>
    </row>
    <row r="25" spans="1:17" ht="15.95" customHeight="1" x14ac:dyDescent="0.25">
      <c r="A25" s="155"/>
      <c r="B25" s="168">
        <f t="shared" si="0"/>
        <v>16</v>
      </c>
      <c r="C25" s="169">
        <f t="shared" si="11"/>
        <v>43186.5</v>
      </c>
      <c r="D25" s="162">
        <f t="shared" si="1"/>
        <v>43186.5</v>
      </c>
      <c r="E25" s="170">
        <f t="shared" si="12"/>
        <v>35817.178927944849</v>
      </c>
      <c r="F25" s="168">
        <f t="shared" si="2"/>
        <v>46</v>
      </c>
      <c r="G25" s="171">
        <f t="shared" si="13"/>
        <v>43216.5</v>
      </c>
      <c r="H25" s="165">
        <f t="shared" si="3"/>
        <v>43216.5</v>
      </c>
      <c r="I25" s="166">
        <f t="shared" si="4"/>
        <v>27027.060429199009</v>
      </c>
      <c r="J25" s="168">
        <f t="shared" si="5"/>
        <v>76</v>
      </c>
      <c r="K25" s="169">
        <f t="shared" si="14"/>
        <v>43246.5</v>
      </c>
      <c r="L25" s="162">
        <f t="shared" si="6"/>
        <v>43246.5</v>
      </c>
      <c r="M25" s="163">
        <f t="shared" si="7"/>
        <v>20394.180036151945</v>
      </c>
      <c r="N25" s="168">
        <f t="shared" si="8"/>
        <v>106</v>
      </c>
      <c r="O25" s="171">
        <f t="shared" si="15"/>
        <v>43276.5</v>
      </c>
      <c r="P25" s="165">
        <f t="shared" si="9"/>
        <v>43276.5</v>
      </c>
      <c r="Q25" s="177">
        <f t="shared" si="10"/>
        <v>15389.116416731415</v>
      </c>
    </row>
    <row r="26" spans="1:17" s="205" customFormat="1" ht="15.95" customHeight="1" x14ac:dyDescent="0.25">
      <c r="A26" s="204"/>
      <c r="B26" s="173">
        <f t="shared" si="0"/>
        <v>17</v>
      </c>
      <c r="C26" s="174">
        <f t="shared" si="11"/>
        <v>43187.5</v>
      </c>
      <c r="D26" s="162">
        <f t="shared" si="1"/>
        <v>43187.5</v>
      </c>
      <c r="E26" s="175">
        <f t="shared" si="12"/>
        <v>35482.560969471022</v>
      </c>
      <c r="F26" s="173">
        <f t="shared" si="2"/>
        <v>47</v>
      </c>
      <c r="G26" s="176">
        <f t="shared" si="13"/>
        <v>43217.5</v>
      </c>
      <c r="H26" s="165">
        <f t="shared" si="3"/>
        <v>43217.5</v>
      </c>
      <c r="I26" s="166">
        <f t="shared" si="4"/>
        <v>26774.563162382961</v>
      </c>
      <c r="J26" s="173">
        <f t="shared" si="5"/>
        <v>77</v>
      </c>
      <c r="K26" s="174">
        <f t="shared" si="14"/>
        <v>43247.5</v>
      </c>
      <c r="L26" s="162">
        <f t="shared" si="6"/>
        <v>43247.5</v>
      </c>
      <c r="M26" s="163">
        <f t="shared" si="7"/>
        <v>20203.649707055571</v>
      </c>
      <c r="N26" s="173">
        <f t="shared" si="8"/>
        <v>107</v>
      </c>
      <c r="O26" s="176">
        <f t="shared" si="15"/>
        <v>43277.5</v>
      </c>
      <c r="P26" s="165">
        <f t="shared" si="9"/>
        <v>43277.5</v>
      </c>
      <c r="Q26" s="177">
        <f t="shared" si="10"/>
        <v>15245.345330559549</v>
      </c>
    </row>
    <row r="27" spans="1:17" ht="15.95" customHeight="1" x14ac:dyDescent="0.25">
      <c r="A27" s="155"/>
      <c r="B27" s="168">
        <f t="shared" ref="B27:B39" si="16">B26+1</f>
        <v>18</v>
      </c>
      <c r="C27" s="169">
        <f t="shared" si="11"/>
        <v>43188.5</v>
      </c>
      <c r="D27" s="162">
        <f t="shared" si="1"/>
        <v>43188.5</v>
      </c>
      <c r="E27" s="170">
        <f t="shared" si="12"/>
        <v>35151.069141571526</v>
      </c>
      <c r="F27" s="168">
        <f t="shared" ref="F27:F39" si="17">F26+1</f>
        <v>48</v>
      </c>
      <c r="G27" s="171">
        <f t="shared" si="13"/>
        <v>43218.5</v>
      </c>
      <c r="H27" s="165">
        <f t="shared" si="3"/>
        <v>43218.5</v>
      </c>
      <c r="I27" s="166">
        <f t="shared" si="4"/>
        <v>26524.424822832298</v>
      </c>
      <c r="J27" s="168">
        <f t="shared" ref="J27:J39" si="18">J26+1</f>
        <v>78</v>
      </c>
      <c r="K27" s="169">
        <f t="shared" si="14"/>
        <v>43248.5</v>
      </c>
      <c r="L27" s="162">
        <f t="shared" si="6"/>
        <v>43248.5</v>
      </c>
      <c r="M27" s="163">
        <f t="shared" si="7"/>
        <v>20014.899386090998</v>
      </c>
      <c r="N27" s="168">
        <f t="shared" ref="N27:N39" si="19">N26+1</f>
        <v>108</v>
      </c>
      <c r="O27" s="171">
        <f t="shared" si="15"/>
        <v>43278.5</v>
      </c>
      <c r="P27" s="165">
        <f t="shared" si="9"/>
        <v>43278.5</v>
      </c>
      <c r="Q27" s="177">
        <f t="shared" si="10"/>
        <v>15102.917409560994</v>
      </c>
    </row>
    <row r="28" spans="1:17" s="205" customFormat="1" ht="15.95" customHeight="1" x14ac:dyDescent="0.25">
      <c r="A28" s="204"/>
      <c r="B28" s="173">
        <f t="shared" si="16"/>
        <v>19</v>
      </c>
      <c r="C28" s="174">
        <f t="shared" si="11"/>
        <v>43189.5</v>
      </c>
      <c r="D28" s="162">
        <f t="shared" si="1"/>
        <v>43189.5</v>
      </c>
      <c r="E28" s="175">
        <f t="shared" si="12"/>
        <v>34822.674238723717</v>
      </c>
      <c r="F28" s="173">
        <f t="shared" si="17"/>
        <v>49</v>
      </c>
      <c r="G28" s="176">
        <f t="shared" si="13"/>
        <v>43219.5</v>
      </c>
      <c r="H28" s="165">
        <f t="shared" si="3"/>
        <v>43219.5</v>
      </c>
      <c r="I28" s="166">
        <f t="shared" si="4"/>
        <v>26276.623372534828</v>
      </c>
      <c r="J28" s="173">
        <f t="shared" si="18"/>
        <v>79</v>
      </c>
      <c r="K28" s="174">
        <f t="shared" si="14"/>
        <v>43249.5</v>
      </c>
      <c r="L28" s="162">
        <f t="shared" si="6"/>
        <v>43249.5</v>
      </c>
      <c r="M28" s="163">
        <f t="shared" si="7"/>
        <v>19827.912443732799</v>
      </c>
      <c r="N28" s="173">
        <f t="shared" si="19"/>
        <v>109</v>
      </c>
      <c r="O28" s="176">
        <f t="shared" si="15"/>
        <v>43279.5</v>
      </c>
      <c r="P28" s="165">
        <f t="shared" si="9"/>
        <v>43279.5</v>
      </c>
      <c r="Q28" s="177">
        <f t="shared" si="10"/>
        <v>14961.820105366462</v>
      </c>
    </row>
    <row r="29" spans="1:17" ht="15.95" customHeight="1" thickBot="1" x14ac:dyDescent="0.3">
      <c r="A29" s="155"/>
      <c r="B29" s="179">
        <f t="shared" si="16"/>
        <v>20</v>
      </c>
      <c r="C29" s="180">
        <f t="shared" si="11"/>
        <v>43190.5</v>
      </c>
      <c r="D29" s="181">
        <f t="shared" si="1"/>
        <v>43190.5</v>
      </c>
      <c r="E29" s="182">
        <f t="shared" si="12"/>
        <v>34497.347328254233</v>
      </c>
      <c r="F29" s="179">
        <f t="shared" si="17"/>
        <v>50</v>
      </c>
      <c r="G29" s="183">
        <f t="shared" si="13"/>
        <v>43220.5</v>
      </c>
      <c r="H29" s="184">
        <f t="shared" si="3"/>
        <v>43220.5</v>
      </c>
      <c r="I29" s="199">
        <f t="shared" si="4"/>
        <v>26031.136979366005</v>
      </c>
      <c r="J29" s="179">
        <f t="shared" si="18"/>
        <v>80</v>
      </c>
      <c r="K29" s="180">
        <f t="shared" si="14"/>
        <v>43250.5</v>
      </c>
      <c r="L29" s="181">
        <f t="shared" si="6"/>
        <v>43250.5</v>
      </c>
      <c r="M29" s="201">
        <f t="shared" si="7"/>
        <v>19642.672405815039</v>
      </c>
      <c r="N29" s="179">
        <f t="shared" si="19"/>
        <v>110</v>
      </c>
      <c r="O29" s="183">
        <f t="shared" si="15"/>
        <v>43280.5</v>
      </c>
      <c r="P29" s="184">
        <f t="shared" si="9"/>
        <v>43280.5</v>
      </c>
      <c r="Q29" s="199">
        <f t="shared" si="10"/>
        <v>14822.04098683839</v>
      </c>
    </row>
    <row r="30" spans="1:17" s="205" customFormat="1" ht="15.95" customHeight="1" x14ac:dyDescent="0.25">
      <c r="A30" s="204"/>
      <c r="B30" s="160">
        <f t="shared" si="16"/>
        <v>21</v>
      </c>
      <c r="C30" s="161">
        <f t="shared" si="11"/>
        <v>43191.5</v>
      </c>
      <c r="D30" s="162">
        <f t="shared" si="1"/>
        <v>43191.5</v>
      </c>
      <c r="E30" s="163">
        <f t="shared" si="12"/>
        <v>34175.059747789972</v>
      </c>
      <c r="F30" s="160">
        <f t="shared" si="17"/>
        <v>51</v>
      </c>
      <c r="G30" s="164">
        <f t="shared" si="13"/>
        <v>43221.5</v>
      </c>
      <c r="H30" s="165">
        <f t="shared" si="3"/>
        <v>43221.5</v>
      </c>
      <c r="I30" s="166">
        <f t="shared" si="4"/>
        <v>25787.944015165471</v>
      </c>
      <c r="J30" s="160">
        <f t="shared" si="18"/>
        <v>81</v>
      </c>
      <c r="K30" s="161">
        <f t="shared" si="14"/>
        <v>43251.5</v>
      </c>
      <c r="L30" s="162">
        <f t="shared" si="6"/>
        <v>43251.5</v>
      </c>
      <c r="M30" s="163">
        <f t="shared" si="7"/>
        <v>19459.162952079809</v>
      </c>
      <c r="N30" s="160">
        <f t="shared" si="19"/>
        <v>111</v>
      </c>
      <c r="O30" s="164">
        <f t="shared" si="15"/>
        <v>43281.5</v>
      </c>
      <c r="P30" s="165">
        <f t="shared" si="9"/>
        <v>43281.5</v>
      </c>
      <c r="Q30" s="166">
        <f t="shared" si="10"/>
        <v>14683.567738975709</v>
      </c>
    </row>
    <row r="31" spans="1:17" ht="15.95" customHeight="1" x14ac:dyDescent="0.25">
      <c r="A31" s="155"/>
      <c r="B31" s="168">
        <f t="shared" si="16"/>
        <v>22</v>
      </c>
      <c r="C31" s="169">
        <f t="shared" si="11"/>
        <v>43192.5</v>
      </c>
      <c r="D31" s="162">
        <f t="shared" si="1"/>
        <v>43192.5</v>
      </c>
      <c r="E31" s="170">
        <f t="shared" si="12"/>
        <v>33855.783102732799</v>
      </c>
      <c r="F31" s="168">
        <f t="shared" si="17"/>
        <v>52</v>
      </c>
      <c r="G31" s="171">
        <f t="shared" si="13"/>
        <v>43222.5</v>
      </c>
      <c r="H31" s="165">
        <f t="shared" si="3"/>
        <v>43222.5</v>
      </c>
      <c r="I31" s="166">
        <f t="shared" si="4"/>
        <v>25547.023053831475</v>
      </c>
      <c r="J31" s="168">
        <f t="shared" si="18"/>
        <v>82</v>
      </c>
      <c r="K31" s="169">
        <f t="shared" si="14"/>
        <v>43252.5</v>
      </c>
      <c r="L31" s="162">
        <f t="shared" si="6"/>
        <v>43252.5</v>
      </c>
      <c r="M31" s="163">
        <f t="shared" si="7"/>
        <v>19277.367914739378</v>
      </c>
      <c r="N31" s="168">
        <f t="shared" si="19"/>
        <v>112</v>
      </c>
      <c r="O31" s="171">
        <f t="shared" si="15"/>
        <v>43282.5</v>
      </c>
      <c r="P31" s="165">
        <f t="shared" si="9"/>
        <v>43282.5</v>
      </c>
      <c r="Q31" s="177">
        <f t="shared" si="10"/>
        <v>14546.388161828867</v>
      </c>
    </row>
    <row r="32" spans="1:17" s="205" customFormat="1" ht="15.95" customHeight="1" x14ac:dyDescent="0.25">
      <c r="A32" s="204"/>
      <c r="B32" s="173">
        <f t="shared" si="16"/>
        <v>23</v>
      </c>
      <c r="C32" s="174">
        <f t="shared" si="11"/>
        <v>43193.5</v>
      </c>
      <c r="D32" s="162">
        <f t="shared" si="1"/>
        <v>43193.5</v>
      </c>
      <c r="E32" s="175">
        <f t="shared" si="12"/>
        <v>33539.489263757932</v>
      </c>
      <c r="F32" s="173">
        <f t="shared" si="17"/>
        <v>53</v>
      </c>
      <c r="G32" s="176">
        <f t="shared" si="13"/>
        <v>43223.5</v>
      </c>
      <c r="H32" s="165">
        <f t="shared" si="3"/>
        <v>43223.5</v>
      </c>
      <c r="I32" s="166">
        <f t="shared" si="4"/>
        <v>25308.352869433245</v>
      </c>
      <c r="J32" s="173">
        <f t="shared" si="18"/>
        <v>83</v>
      </c>
      <c r="K32" s="174">
        <f t="shared" si="14"/>
        <v>43253.5</v>
      </c>
      <c r="L32" s="162">
        <f t="shared" si="6"/>
        <v>43253.5</v>
      </c>
      <c r="M32" s="163">
        <f t="shared" si="7"/>
        <v>19097.271277051754</v>
      </c>
      <c r="N32" s="173">
        <f t="shared" si="19"/>
        <v>113</v>
      </c>
      <c r="O32" s="176">
        <f t="shared" si="15"/>
        <v>43283.5</v>
      </c>
      <c r="P32" s="165">
        <f t="shared" si="9"/>
        <v>43283.5</v>
      </c>
      <c r="Q32" s="177">
        <f t="shared" si="10"/>
        <v>14410.490169424966</v>
      </c>
    </row>
    <row r="33" spans="1:17" ht="15.95" customHeight="1" x14ac:dyDescent="0.25">
      <c r="A33" s="155"/>
      <c r="B33" s="168">
        <f t="shared" si="16"/>
        <v>24</v>
      </c>
      <c r="C33" s="169">
        <f t="shared" si="11"/>
        <v>43194.5</v>
      </c>
      <c r="D33" s="162">
        <f t="shared" si="1"/>
        <v>43194.5</v>
      </c>
      <c r="E33" s="170">
        <f t="shared" si="12"/>
        <v>33226.150364335641</v>
      </c>
      <c r="F33" s="168">
        <f t="shared" si="17"/>
        <v>54</v>
      </c>
      <c r="G33" s="171">
        <f t="shared" si="13"/>
        <v>43224.5</v>
      </c>
      <c r="H33" s="165">
        <f t="shared" si="3"/>
        <v>43224.5</v>
      </c>
      <c r="I33" s="166">
        <f t="shared" si="4"/>
        <v>25071.912434340862</v>
      </c>
      <c r="J33" s="168">
        <f t="shared" si="18"/>
        <v>84</v>
      </c>
      <c r="K33" s="169">
        <f t="shared" si="14"/>
        <v>43254.5</v>
      </c>
      <c r="L33" s="162">
        <f t="shared" si="6"/>
        <v>43254.5</v>
      </c>
      <c r="M33" s="163">
        <f t="shared" si="7"/>
        <v>18918.857171909534</v>
      </c>
      <c r="N33" s="168">
        <f t="shared" si="19"/>
        <v>114</v>
      </c>
      <c r="O33" s="171">
        <f t="shared" si="15"/>
        <v>43284.5</v>
      </c>
      <c r="P33" s="165">
        <f t="shared" si="9"/>
        <v>43284.5</v>
      </c>
      <c r="Q33" s="177">
        <f t="shared" si="10"/>
        <v>14275.861788702941</v>
      </c>
    </row>
    <row r="34" spans="1:17" s="205" customFormat="1" ht="15.95" customHeight="1" x14ac:dyDescent="0.25">
      <c r="A34" s="204"/>
      <c r="B34" s="173">
        <f t="shared" si="16"/>
        <v>25</v>
      </c>
      <c r="C34" s="174">
        <f t="shared" si="11"/>
        <v>43195.5</v>
      </c>
      <c r="D34" s="162">
        <f t="shared" si="1"/>
        <v>43195.5</v>
      </c>
      <c r="E34" s="175">
        <f t="shared" si="12"/>
        <v>32915.738798276085</v>
      </c>
      <c r="F34" s="173">
        <f t="shared" si="17"/>
        <v>55</v>
      </c>
      <c r="G34" s="176">
        <f t="shared" si="13"/>
        <v>43225.5</v>
      </c>
      <c r="H34" s="165">
        <f t="shared" si="3"/>
        <v>43225.5</v>
      </c>
      <c r="I34" s="166">
        <f t="shared" si="4"/>
        <v>24837.680917372665</v>
      </c>
      <c r="J34" s="173">
        <f t="shared" si="18"/>
        <v>85</v>
      </c>
      <c r="K34" s="174">
        <f t="shared" si="14"/>
        <v>43255.5</v>
      </c>
      <c r="L34" s="162">
        <f t="shared" si="6"/>
        <v>43255.5</v>
      </c>
      <c r="M34" s="163">
        <f t="shared" si="7"/>
        <v>18742.109880442</v>
      </c>
      <c r="N34" s="173">
        <f t="shared" si="19"/>
        <v>115</v>
      </c>
      <c r="O34" s="176">
        <f t="shared" si="15"/>
        <v>43285.5</v>
      </c>
      <c r="P34" s="165">
        <f t="shared" si="9"/>
        <v>43285.5</v>
      </c>
      <c r="Q34" s="177">
        <f t="shared" si="10"/>
        <v>14142.491158458712</v>
      </c>
    </row>
    <row r="35" spans="1:17" ht="15.95" customHeight="1" x14ac:dyDescent="0.25">
      <c r="A35" s="155"/>
      <c r="B35" s="168">
        <f t="shared" si="16"/>
        <v>26</v>
      </c>
      <c r="C35" s="169">
        <f t="shared" si="11"/>
        <v>43196.5</v>
      </c>
      <c r="D35" s="162">
        <f t="shared" si="1"/>
        <v>43196.5</v>
      </c>
      <c r="E35" s="170">
        <f t="shared" si="12"/>
        <v>32608.227217297172</v>
      </c>
      <c r="F35" s="168">
        <f t="shared" si="17"/>
        <v>56</v>
      </c>
      <c r="G35" s="171">
        <f t="shared" si="13"/>
        <v>43226.5</v>
      </c>
      <c r="H35" s="165">
        <f t="shared" si="3"/>
        <v>43226.5</v>
      </c>
      <c r="I35" s="166">
        <f t="shared" si="4"/>
        <v>24605.637681959975</v>
      </c>
      <c r="J35" s="168">
        <f t="shared" si="18"/>
        <v>86</v>
      </c>
      <c r="K35" s="169">
        <f t="shared" si="14"/>
        <v>43256.5</v>
      </c>
      <c r="L35" s="162">
        <f t="shared" si="6"/>
        <v>43256.5</v>
      </c>
      <c r="M35" s="163">
        <f t="shared" si="7"/>
        <v>18567.013830630196</v>
      </c>
      <c r="N35" s="168">
        <f t="shared" si="19"/>
        <v>116</v>
      </c>
      <c r="O35" s="171">
        <f t="shared" si="15"/>
        <v>43286.5</v>
      </c>
      <c r="P35" s="165">
        <f t="shared" si="9"/>
        <v>43286.5</v>
      </c>
      <c r="Q35" s="177">
        <f t="shared" si="10"/>
        <v>14010.366528300152</v>
      </c>
    </row>
    <row r="36" spans="1:17" s="205" customFormat="1" ht="15.95" customHeight="1" x14ac:dyDescent="0.25">
      <c r="A36" s="204"/>
      <c r="B36" s="173">
        <f t="shared" si="16"/>
        <v>27</v>
      </c>
      <c r="C36" s="174">
        <f t="shared" si="11"/>
        <v>43197.5</v>
      </c>
      <c r="D36" s="162">
        <f t="shared" si="1"/>
        <v>43197.5</v>
      </c>
      <c r="E36" s="175">
        <f t="shared" si="12"/>
        <v>32303.588528615033</v>
      </c>
      <c r="F36" s="173">
        <f t="shared" si="17"/>
        <v>57</v>
      </c>
      <c r="G36" s="176">
        <f t="shared" si="13"/>
        <v>43227.5</v>
      </c>
      <c r="H36" s="165">
        <f t="shared" si="3"/>
        <v>43227.5</v>
      </c>
      <c r="I36" s="166">
        <f t="shared" si="4"/>
        <v>24375.76228432891</v>
      </c>
      <c r="J36" s="173">
        <f t="shared" si="18"/>
        <v>87</v>
      </c>
      <c r="K36" s="174">
        <f t="shared" si="14"/>
        <v>43257.5</v>
      </c>
      <c r="L36" s="162">
        <f t="shared" si="6"/>
        <v>43257.5</v>
      </c>
      <c r="M36" s="163">
        <f t="shared" si="7"/>
        <v>18393.553595935005</v>
      </c>
      <c r="N36" s="173">
        <f t="shared" si="19"/>
        <v>117</v>
      </c>
      <c r="O36" s="176">
        <f t="shared" si="15"/>
        <v>43287.5</v>
      </c>
      <c r="P36" s="165">
        <f t="shared" si="9"/>
        <v>43287.5</v>
      </c>
      <c r="Q36" s="177">
        <f t="shared" si="10"/>
        <v>13879.476257611857</v>
      </c>
    </row>
    <row r="37" spans="1:17" ht="15.95" customHeight="1" x14ac:dyDescent="0.25">
      <c r="A37" s="155"/>
      <c r="B37" s="168">
        <f t="shared" si="16"/>
        <v>28</v>
      </c>
      <c r="C37" s="169">
        <f t="shared" si="11"/>
        <v>43198.5</v>
      </c>
      <c r="D37" s="162">
        <f t="shared" si="1"/>
        <v>43198.5</v>
      </c>
      <c r="E37" s="170">
        <f t="shared" si="12"/>
        <v>32001.795892557078</v>
      </c>
      <c r="F37" s="168">
        <f t="shared" si="17"/>
        <v>58</v>
      </c>
      <c r="G37" s="171">
        <f t="shared" si="13"/>
        <v>43228.5</v>
      </c>
      <c r="H37" s="165">
        <f t="shared" si="3"/>
        <v>43228.5</v>
      </c>
      <c r="I37" s="166">
        <f t="shared" si="4"/>
        <v>24148.034471699266</v>
      </c>
      <c r="J37" s="168">
        <f t="shared" si="18"/>
        <v>88</v>
      </c>
      <c r="K37" s="169">
        <f t="shared" si="14"/>
        <v>43258.5</v>
      </c>
      <c r="L37" s="162">
        <f t="shared" si="6"/>
        <v>43258.5</v>
      </c>
      <c r="M37" s="163">
        <f t="shared" si="7"/>
        <v>18221.713893938024</v>
      </c>
      <c r="N37" s="168">
        <f t="shared" si="19"/>
        <v>118</v>
      </c>
      <c r="O37" s="171">
        <f t="shared" si="15"/>
        <v>43288.5</v>
      </c>
      <c r="P37" s="165">
        <f t="shared" si="9"/>
        <v>43288.5</v>
      </c>
      <c r="Q37" s="177">
        <f t="shared" si="10"/>
        <v>13749.80881452955</v>
      </c>
    </row>
    <row r="38" spans="1:17" s="205" customFormat="1" ht="15.95" customHeight="1" x14ac:dyDescent="0.25">
      <c r="A38" s="204"/>
      <c r="B38" s="173">
        <f t="shared" si="16"/>
        <v>29</v>
      </c>
      <c r="C38" s="174">
        <f t="shared" si="11"/>
        <v>43199.5</v>
      </c>
      <c r="D38" s="162">
        <f t="shared" si="1"/>
        <v>43199.5</v>
      </c>
      <c r="E38" s="175">
        <f t="shared" si="12"/>
        <v>31702.82272019735</v>
      </c>
      <c r="F38" s="173">
        <f t="shared" si="17"/>
        <v>59</v>
      </c>
      <c r="G38" s="176">
        <f t="shared" si="13"/>
        <v>43229.5</v>
      </c>
      <c r="H38" s="165">
        <f t="shared" si="3"/>
        <v>43229.5</v>
      </c>
      <c r="I38" s="166">
        <f t="shared" si="4"/>
        <v>23922.434180500139</v>
      </c>
      <c r="J38" s="173">
        <f t="shared" si="18"/>
        <v>89</v>
      </c>
      <c r="K38" s="174">
        <f t="shared" si="14"/>
        <v>43259.5</v>
      </c>
      <c r="L38" s="162">
        <f t="shared" si="6"/>
        <v>43259.5</v>
      </c>
      <c r="M38" s="163">
        <f t="shared" si="7"/>
        <v>18051.479584995097</v>
      </c>
      <c r="N38" s="173">
        <f t="shared" si="19"/>
        <v>119</v>
      </c>
      <c r="O38" s="176">
        <f t="shared" si="15"/>
        <v>43289.5</v>
      </c>
      <c r="P38" s="165">
        <f t="shared" si="9"/>
        <v>43289.5</v>
      </c>
      <c r="Q38" s="177">
        <f t="shared" si="10"/>
        <v>13621.352774924102</v>
      </c>
    </row>
    <row r="39" spans="1:17" ht="15.95" customHeight="1" thickBot="1" x14ac:dyDescent="0.3">
      <c r="A39" s="155"/>
      <c r="B39" s="185">
        <f t="shared" si="16"/>
        <v>30</v>
      </c>
      <c r="C39" s="186">
        <f t="shared" si="11"/>
        <v>43200.5</v>
      </c>
      <c r="D39" s="187">
        <f t="shared" si="1"/>
        <v>43200.5</v>
      </c>
      <c r="E39" s="188">
        <f t="shared" si="12"/>
        <v>31406.642671013931</v>
      </c>
      <c r="F39" s="185">
        <f t="shared" si="17"/>
        <v>60</v>
      </c>
      <c r="G39" s="189">
        <f t="shared" si="13"/>
        <v>43230.5</v>
      </c>
      <c r="H39" s="190">
        <f t="shared" si="3"/>
        <v>43230.5</v>
      </c>
      <c r="I39" s="200">
        <f t="shared" si="4"/>
        <v>23698.941534602272</v>
      </c>
      <c r="J39" s="185">
        <f t="shared" si="18"/>
        <v>90</v>
      </c>
      <c r="K39" s="186">
        <f t="shared" si="14"/>
        <v>43260.5</v>
      </c>
      <c r="L39" s="202">
        <f t="shared" si="6"/>
        <v>43260.5</v>
      </c>
      <c r="M39" s="203">
        <f t="shared" si="7"/>
        <v>17882.835670902514</v>
      </c>
      <c r="N39" s="185">
        <f t="shared" si="19"/>
        <v>120</v>
      </c>
      <c r="O39" s="189">
        <f t="shared" si="15"/>
        <v>43290.5</v>
      </c>
      <c r="P39" s="190">
        <f t="shared" si="9"/>
        <v>43290.5</v>
      </c>
      <c r="Q39" s="200">
        <f t="shared" si="10"/>
        <v>13494.096821395035</v>
      </c>
    </row>
    <row r="40" spans="1:17" ht="13.5" thickTop="1" x14ac:dyDescent="0.2">
      <c r="C40" s="191"/>
      <c r="D40" s="191"/>
      <c r="G40" s="191"/>
      <c r="H40" s="191"/>
      <c r="K40" s="191"/>
      <c r="L40" s="191"/>
      <c r="O40" s="191"/>
      <c r="P40" s="191"/>
    </row>
    <row r="41" spans="1:17" ht="15.75" x14ac:dyDescent="0.25">
      <c r="E41" s="148" t="s">
        <v>121</v>
      </c>
      <c r="F41" s="147"/>
      <c r="G41" s="147"/>
    </row>
    <row r="42" spans="1:17" ht="18.75" x14ac:dyDescent="0.25">
      <c r="F42" s="147" t="s">
        <v>122</v>
      </c>
      <c r="G42" s="147"/>
      <c r="H42" s="147"/>
      <c r="J42" s="192" t="s">
        <v>123</v>
      </c>
      <c r="K42" s="147"/>
      <c r="L42" s="147" t="s">
        <v>124</v>
      </c>
    </row>
    <row r="43" spans="1:17" x14ac:dyDescent="0.2">
      <c r="C43" t="s">
        <v>51</v>
      </c>
    </row>
    <row r="46" spans="1:17" x14ac:dyDescent="0.2">
      <c r="J46" t="s">
        <v>51</v>
      </c>
    </row>
  </sheetData>
  <mergeCells count="4">
    <mergeCell ref="B5:C5"/>
    <mergeCell ref="E6:F6"/>
    <mergeCell ref="L6:M6"/>
    <mergeCell ref="P5:Q5"/>
  </mergeCells>
  <phoneticPr fontId="78" type="noConversion"/>
  <pageMargins left="0.7" right="0.7" top="0.75" bottom="0.75" header="0.3" footer="0.3"/>
  <pageSetup paperSize="3" scale="95" orientation="landscape" r:id="rId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D56"/>
  <sheetViews>
    <sheetView zoomScale="90" zoomScaleNormal="100" workbookViewId="0">
      <pane xSplit="2" ySplit="4" topLeftCell="C5" activePane="bottomRight" state="frozen"/>
      <selection pane="topRight" activeCell="C1" sqref="C1"/>
      <selection pane="bottomLeft" activeCell="A5" sqref="A5"/>
      <selection pane="bottomRight" activeCell="H22" sqref="H22"/>
    </sheetView>
  </sheetViews>
  <sheetFormatPr defaultColWidth="11.85546875" defaultRowHeight="12.75" x14ac:dyDescent="0.2"/>
  <cols>
    <col min="1" max="1" width="2.7109375" style="4" customWidth="1"/>
    <col min="2" max="2" width="37.85546875" style="4" customWidth="1"/>
    <col min="3" max="3" width="14.85546875" style="5" customWidth="1"/>
    <col min="4" max="237" width="9.140625" style="5" customWidth="1"/>
    <col min="238" max="238" width="2.7109375" style="5" customWidth="1"/>
    <col min="239" max="239" width="37.85546875" style="5" customWidth="1"/>
    <col min="240" max="16384" width="11.85546875" style="5"/>
  </cols>
  <sheetData>
    <row r="1" spans="1:4" ht="18" x14ac:dyDescent="0.25">
      <c r="A1" s="359" t="s">
        <v>0</v>
      </c>
      <c r="B1" s="359"/>
      <c r="C1" s="359"/>
    </row>
    <row r="2" spans="1:4" ht="18" x14ac:dyDescent="0.25">
      <c r="A2" s="359" t="s">
        <v>7</v>
      </c>
      <c r="B2" s="359"/>
      <c r="C2" s="359"/>
    </row>
    <row r="3" spans="1:4" ht="13.5" thickBot="1" x14ac:dyDescent="0.25"/>
    <row r="4" spans="1:4" s="6" customFormat="1" ht="24" customHeight="1" thickTop="1" x14ac:dyDescent="0.2">
      <c r="A4" s="360" t="s">
        <v>1</v>
      </c>
      <c r="B4" s="361"/>
      <c r="C4" s="143">
        <v>43171</v>
      </c>
    </row>
    <row r="5" spans="1:4" s="10" customFormat="1" ht="24" customHeight="1" x14ac:dyDescent="0.2">
      <c r="A5" s="7" t="s">
        <v>43</v>
      </c>
      <c r="B5" s="8"/>
      <c r="C5" s="9"/>
    </row>
    <row r="6" spans="1:4" s="12" customFormat="1" ht="24" customHeight="1" x14ac:dyDescent="0.2">
      <c r="A6" s="1">
        <v>1</v>
      </c>
      <c r="B6" s="11" t="s">
        <v>8</v>
      </c>
      <c r="C6" s="305" t="s">
        <v>245</v>
      </c>
    </row>
    <row r="7" spans="1:4" s="12" customFormat="1" ht="24" customHeight="1" x14ac:dyDescent="0.2">
      <c r="A7" s="1">
        <v>2</v>
      </c>
      <c r="B7" s="2" t="s">
        <v>9</v>
      </c>
      <c r="C7" s="305" t="s">
        <v>245</v>
      </c>
    </row>
    <row r="8" spans="1:4" s="12" customFormat="1" ht="24" customHeight="1" x14ac:dyDescent="0.2">
      <c r="A8" s="1">
        <v>3</v>
      </c>
      <c r="B8" s="2" t="s">
        <v>10</v>
      </c>
      <c r="C8" s="305" t="s">
        <v>245</v>
      </c>
    </row>
    <row r="9" spans="1:4" s="12" customFormat="1" ht="24" customHeight="1" x14ac:dyDescent="0.2">
      <c r="A9" s="1">
        <v>4</v>
      </c>
      <c r="B9" s="11" t="s">
        <v>246</v>
      </c>
      <c r="C9" s="305" t="s">
        <v>245</v>
      </c>
    </row>
    <row r="10" spans="1:4" s="12" customFormat="1" ht="24" customHeight="1" x14ac:dyDescent="0.2">
      <c r="A10" s="1">
        <v>5</v>
      </c>
      <c r="B10" s="2" t="s">
        <v>11</v>
      </c>
      <c r="C10" s="306"/>
    </row>
    <row r="11" spans="1:4" s="12" customFormat="1" ht="24" customHeight="1" x14ac:dyDescent="0.2">
      <c r="A11" s="1"/>
      <c r="B11" s="14" t="s">
        <v>12</v>
      </c>
      <c r="C11" s="144">
        <v>41232</v>
      </c>
    </row>
    <row r="12" spans="1:4" s="12" customFormat="1" ht="24" customHeight="1" x14ac:dyDescent="0.2">
      <c r="A12" s="1"/>
      <c r="B12" s="14" t="s">
        <v>13</v>
      </c>
      <c r="C12" s="144">
        <v>41217</v>
      </c>
    </row>
    <row r="13" spans="1:4" s="12" customFormat="1" ht="24" customHeight="1" x14ac:dyDescent="0.2">
      <c r="A13" s="1"/>
      <c r="B13" s="14" t="s">
        <v>14</v>
      </c>
      <c r="C13" s="18">
        <f>IF(C12=0,"",40700/C12*60)</f>
        <v>59.247397918334663</v>
      </c>
    </row>
    <row r="14" spans="1:4" s="12" customFormat="1" ht="24" customHeight="1" x14ac:dyDescent="0.2">
      <c r="A14" s="1"/>
      <c r="B14" s="14" t="s">
        <v>15</v>
      </c>
      <c r="C14" s="15">
        <f>IF(C12=0,"",40700/C12*15)</f>
        <v>14.811849479583666</v>
      </c>
      <c r="D14" s="16"/>
    </row>
    <row r="15" spans="1:4" s="12" customFormat="1" ht="24" customHeight="1" x14ac:dyDescent="0.2">
      <c r="A15" s="1"/>
      <c r="B15" s="14" t="s">
        <v>16</v>
      </c>
      <c r="C15" s="305" t="s">
        <v>245</v>
      </c>
    </row>
    <row r="16" spans="1:4" s="12" customFormat="1" ht="24" customHeight="1" x14ac:dyDescent="0.2">
      <c r="A16" s="1">
        <v>6</v>
      </c>
      <c r="B16" s="11" t="s">
        <v>17</v>
      </c>
      <c r="C16" s="13"/>
    </row>
    <row r="17" spans="1:3" s="12" customFormat="1" ht="24" customHeight="1" x14ac:dyDescent="0.2">
      <c r="A17" s="1"/>
      <c r="B17" s="14" t="s">
        <v>18</v>
      </c>
      <c r="C17" s="305" t="s">
        <v>245</v>
      </c>
    </row>
    <row r="18" spans="1:3" s="12" customFormat="1" ht="24" customHeight="1" x14ac:dyDescent="0.2">
      <c r="A18" s="1"/>
      <c r="B18" s="14" t="s">
        <v>19</v>
      </c>
      <c r="C18" s="305" t="s">
        <v>245</v>
      </c>
    </row>
    <row r="19" spans="1:3" s="12" customFormat="1" ht="24" customHeight="1" x14ac:dyDescent="0.2">
      <c r="A19" s="1"/>
      <c r="B19" s="14" t="s">
        <v>20</v>
      </c>
      <c r="C19" s="305" t="s">
        <v>245</v>
      </c>
    </row>
    <row r="20" spans="1:3" s="12" customFormat="1" ht="24" customHeight="1" x14ac:dyDescent="0.2">
      <c r="A20" s="1"/>
      <c r="B20" s="14" t="s">
        <v>21</v>
      </c>
      <c r="C20" s="305" t="s">
        <v>245</v>
      </c>
    </row>
    <row r="21" spans="1:3" s="12" customFormat="1" ht="24" customHeight="1" x14ac:dyDescent="0.2">
      <c r="A21" s="1">
        <v>7</v>
      </c>
      <c r="B21" s="2" t="s">
        <v>22</v>
      </c>
      <c r="C21" s="305" t="s">
        <v>245</v>
      </c>
    </row>
    <row r="22" spans="1:3" s="12" customFormat="1" ht="24" customHeight="1" x14ac:dyDescent="0.2">
      <c r="A22" s="1">
        <v>8</v>
      </c>
      <c r="B22" s="2" t="s">
        <v>23</v>
      </c>
      <c r="C22" s="305" t="s">
        <v>245</v>
      </c>
    </row>
    <row r="23" spans="1:3" s="12" customFormat="1" ht="24" customHeight="1" x14ac:dyDescent="0.2">
      <c r="A23" s="1">
        <v>9</v>
      </c>
      <c r="B23" s="17" t="s">
        <v>24</v>
      </c>
      <c r="C23" s="305" t="s">
        <v>245</v>
      </c>
    </row>
    <row r="24" spans="1:3" s="12" customFormat="1" ht="24" customHeight="1" x14ac:dyDescent="0.2">
      <c r="A24" s="1">
        <v>10</v>
      </c>
      <c r="B24" s="11" t="s">
        <v>25</v>
      </c>
      <c r="C24" s="305" t="s">
        <v>245</v>
      </c>
    </row>
    <row r="25" spans="1:3" s="12" customFormat="1" ht="24" customHeight="1" x14ac:dyDescent="0.2">
      <c r="A25" s="1">
        <v>11</v>
      </c>
      <c r="B25" s="2" t="s">
        <v>26</v>
      </c>
      <c r="C25" s="305" t="s">
        <v>245</v>
      </c>
    </row>
    <row r="26" spans="1:3" s="12" customFormat="1" ht="24" customHeight="1" x14ac:dyDescent="0.2">
      <c r="A26" s="1">
        <v>12</v>
      </c>
      <c r="B26" s="2" t="s">
        <v>35</v>
      </c>
      <c r="C26" s="305" t="s">
        <v>245</v>
      </c>
    </row>
    <row r="27" spans="1:3" s="12" customFormat="1" ht="24" customHeight="1" x14ac:dyDescent="0.2">
      <c r="A27" s="1">
        <v>13</v>
      </c>
      <c r="B27" s="2" t="s">
        <v>27</v>
      </c>
      <c r="C27" s="13"/>
    </row>
    <row r="28" spans="1:3" s="12" customFormat="1" ht="24" customHeight="1" x14ac:dyDescent="0.2">
      <c r="A28" s="1"/>
      <c r="B28" s="14" t="s">
        <v>28</v>
      </c>
      <c r="C28" s="144">
        <v>200.5</v>
      </c>
    </row>
    <row r="29" spans="1:3" s="12" customFormat="1" ht="24" customHeight="1" x14ac:dyDescent="0.2">
      <c r="A29" s="1"/>
      <c r="B29" s="14" t="s">
        <v>29</v>
      </c>
      <c r="C29" s="144">
        <v>181</v>
      </c>
    </row>
    <row r="30" spans="1:3" s="12" customFormat="1" ht="24" customHeight="1" x14ac:dyDescent="0.2">
      <c r="A30" s="1"/>
      <c r="B30" s="14" t="s">
        <v>30</v>
      </c>
      <c r="C30" s="144">
        <v>221</v>
      </c>
    </row>
    <row r="31" spans="1:3" s="12" customFormat="1" ht="24" customHeight="1" x14ac:dyDescent="0.2">
      <c r="A31" s="1"/>
      <c r="B31" s="14" t="s">
        <v>31</v>
      </c>
      <c r="C31" s="144">
        <v>200.5</v>
      </c>
    </row>
    <row r="32" spans="1:3" s="12" customFormat="1" ht="24" customHeight="1" x14ac:dyDescent="0.2">
      <c r="A32" s="1">
        <v>14</v>
      </c>
      <c r="B32" s="11" t="s">
        <v>32</v>
      </c>
      <c r="C32" s="306"/>
    </row>
    <row r="33" spans="1:3" s="12" customFormat="1" ht="24" customHeight="1" x14ac:dyDescent="0.2">
      <c r="A33" s="1"/>
      <c r="B33" s="14" t="s">
        <v>33</v>
      </c>
      <c r="C33" s="18">
        <f>IF(C12=0,"",40700/C12*60)</f>
        <v>59.247397918334663</v>
      </c>
    </row>
    <row r="34" spans="1:3" s="12" customFormat="1" ht="24" customHeight="1" thickBot="1" x14ac:dyDescent="0.25">
      <c r="A34" s="1"/>
      <c r="B34" s="14" t="s">
        <v>34</v>
      </c>
      <c r="C34" s="145">
        <v>59.35</v>
      </c>
    </row>
    <row r="35" spans="1:3" s="12" customFormat="1" ht="24" customHeight="1" thickBot="1" x14ac:dyDescent="0.25">
      <c r="A35" s="362" t="s">
        <v>5</v>
      </c>
      <c r="B35" s="363"/>
      <c r="C35" s="142" t="s">
        <v>247</v>
      </c>
    </row>
    <row r="36" spans="1:3" s="12" customFormat="1" ht="23.25" customHeight="1" thickTop="1" x14ac:dyDescent="0.2">
      <c r="A36" s="11"/>
      <c r="B36" s="11"/>
    </row>
    <row r="37" spans="1:3" s="12" customFormat="1" ht="16.5" customHeight="1" x14ac:dyDescent="0.2">
      <c r="A37" s="11"/>
    </row>
    <row r="38" spans="1:3" s="12" customFormat="1" ht="16.5" customHeight="1" x14ac:dyDescent="0.2">
      <c r="A38" s="11"/>
      <c r="B38" s="11"/>
    </row>
    <row r="39" spans="1:3" s="12" customFormat="1" ht="16.5" customHeight="1" x14ac:dyDescent="0.2">
      <c r="A39" s="11"/>
      <c r="B39" s="11"/>
    </row>
    <row r="40" spans="1:3" s="12" customFormat="1" ht="16.5" customHeight="1" x14ac:dyDescent="0.2">
      <c r="A40" s="11"/>
      <c r="B40" s="11"/>
    </row>
    <row r="41" spans="1:3" s="12" customFormat="1" ht="16.5" customHeight="1" x14ac:dyDescent="0.2">
      <c r="A41" s="11"/>
      <c r="B41" s="11"/>
    </row>
    <row r="42" spans="1:3" s="12" customFormat="1" ht="16.5" customHeight="1" x14ac:dyDescent="0.2">
      <c r="A42" s="11"/>
      <c r="B42" s="11"/>
    </row>
    <row r="43" spans="1:3" s="12" customFormat="1" ht="16.5" customHeight="1" x14ac:dyDescent="0.2">
      <c r="A43" s="11"/>
      <c r="B43" s="11"/>
    </row>
    <row r="44" spans="1:3" s="12" customFormat="1" ht="16.5" customHeight="1" x14ac:dyDescent="0.2">
      <c r="A44" s="11"/>
      <c r="B44" s="11"/>
    </row>
    <row r="45" spans="1:3" s="12" customFormat="1" ht="16.5" customHeight="1" x14ac:dyDescent="0.2">
      <c r="A45" s="11"/>
      <c r="B45" s="11"/>
    </row>
    <row r="46" spans="1:3" s="20" customFormat="1" ht="12" x14ac:dyDescent="0.2">
      <c r="A46" s="19"/>
      <c r="B46" s="19"/>
    </row>
    <row r="47" spans="1:3" s="20" customFormat="1" ht="12" x14ac:dyDescent="0.2">
      <c r="A47" s="19"/>
      <c r="B47" s="19"/>
    </row>
    <row r="48" spans="1:3" s="20" customFormat="1" ht="12" x14ac:dyDescent="0.2">
      <c r="A48" s="19"/>
      <c r="B48" s="19"/>
    </row>
    <row r="49" spans="1:2" s="20" customFormat="1" ht="12" x14ac:dyDescent="0.2">
      <c r="A49" s="19"/>
      <c r="B49" s="19"/>
    </row>
    <row r="50" spans="1:2" s="20" customFormat="1" ht="12" x14ac:dyDescent="0.2">
      <c r="A50" s="19"/>
      <c r="B50" s="19"/>
    </row>
    <row r="51" spans="1:2" s="20" customFormat="1" ht="12" x14ac:dyDescent="0.2">
      <c r="A51" s="19"/>
      <c r="B51" s="19"/>
    </row>
    <row r="52" spans="1:2" s="20" customFormat="1" ht="12" x14ac:dyDescent="0.2">
      <c r="A52" s="19"/>
      <c r="B52" s="19"/>
    </row>
    <row r="53" spans="1:2" s="20" customFormat="1" ht="12" x14ac:dyDescent="0.2">
      <c r="A53" s="19"/>
      <c r="B53" s="19"/>
    </row>
    <row r="54" spans="1:2" s="20" customFormat="1" ht="12" x14ac:dyDescent="0.2">
      <c r="A54" s="19"/>
      <c r="B54" s="19"/>
    </row>
    <row r="55" spans="1:2" s="20" customFormat="1" ht="12" x14ac:dyDescent="0.2">
      <c r="A55" s="19"/>
      <c r="B55" s="19"/>
    </row>
    <row r="56" spans="1:2" s="20" customFormat="1" ht="12" x14ac:dyDescent="0.2">
      <c r="A56" s="19"/>
      <c r="B56" s="19"/>
    </row>
  </sheetData>
  <mergeCells count="4">
    <mergeCell ref="A1:C1"/>
    <mergeCell ref="A2:C2"/>
    <mergeCell ref="A4:B4"/>
    <mergeCell ref="A35:B35"/>
  </mergeCells>
  <phoneticPr fontId="78" type="noConversion"/>
  <pageMargins left="0.75" right="0.5" top="1" bottom="1" header="0.5" footer="0.5"/>
  <pageSetup scale="81" orientation="portrait" horizontalDpi="4294967295" verticalDpi="4294967295" r:id="rId1"/>
  <headerFooter alignWithMargins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38"/>
  <sheetViews>
    <sheetView workbookViewId="0">
      <selection activeCell="I29" sqref="I29"/>
    </sheetView>
  </sheetViews>
  <sheetFormatPr defaultRowHeight="12.75" x14ac:dyDescent="0.2"/>
  <cols>
    <col min="1" max="1" width="30.85546875" customWidth="1"/>
    <col min="2" max="2" width="27.85546875" customWidth="1"/>
    <col min="3" max="3" width="17.85546875" style="5" customWidth="1"/>
    <col min="4" max="4" width="14.140625" customWidth="1"/>
  </cols>
  <sheetData>
    <row r="1" spans="1:4" ht="18" x14ac:dyDescent="0.25">
      <c r="A1" s="359" t="s">
        <v>0</v>
      </c>
      <c r="B1" s="359"/>
    </row>
    <row r="2" spans="1:4" ht="18" x14ac:dyDescent="0.25">
      <c r="A2" s="359" t="s">
        <v>40</v>
      </c>
      <c r="B2" s="359"/>
    </row>
    <row r="4" spans="1:4" s="21" customFormat="1" ht="18" customHeight="1" x14ac:dyDescent="0.2">
      <c r="A4" s="365" t="s">
        <v>146</v>
      </c>
      <c r="B4" s="22" t="s">
        <v>147</v>
      </c>
      <c r="C4" s="222" t="s">
        <v>252</v>
      </c>
    </row>
    <row r="5" spans="1:4" s="21" customFormat="1" ht="18" customHeight="1" x14ac:dyDescent="0.2">
      <c r="A5" s="365"/>
      <c r="B5" s="22" t="s">
        <v>41</v>
      </c>
      <c r="C5" s="23">
        <v>1</v>
      </c>
    </row>
    <row r="6" spans="1:4" s="21" customFormat="1" ht="18" customHeight="1" x14ac:dyDescent="0.2">
      <c r="A6" s="365"/>
      <c r="B6" s="22" t="s">
        <v>42</v>
      </c>
      <c r="C6" s="23">
        <v>200</v>
      </c>
    </row>
    <row r="7" spans="1:4" s="21" customFormat="1" ht="18" customHeight="1" x14ac:dyDescent="0.2">
      <c r="A7" s="365"/>
      <c r="B7" s="22" t="s">
        <v>148</v>
      </c>
      <c r="C7" s="23">
        <v>30</v>
      </c>
    </row>
    <row r="8" spans="1:4" s="21" customFormat="1" ht="18" customHeight="1" x14ac:dyDescent="0.2">
      <c r="A8" s="365" t="s">
        <v>141</v>
      </c>
      <c r="B8" s="22" t="s">
        <v>143</v>
      </c>
      <c r="C8" s="213">
        <v>30.5</v>
      </c>
    </row>
    <row r="9" spans="1:4" s="21" customFormat="1" ht="18" customHeight="1" x14ac:dyDescent="0.2">
      <c r="A9" s="365"/>
      <c r="B9" s="22" t="s">
        <v>142</v>
      </c>
      <c r="C9" s="213">
        <v>0.33900000000000002</v>
      </c>
    </row>
    <row r="10" spans="1:4" s="21" customFormat="1" ht="18" customHeight="1" x14ac:dyDescent="0.2">
      <c r="A10" s="365"/>
      <c r="B10" s="212" t="s">
        <v>138</v>
      </c>
      <c r="C10" s="213">
        <v>40079</v>
      </c>
    </row>
    <row r="11" spans="1:4" s="21" customFormat="1" ht="18" customHeight="1" x14ac:dyDescent="0.2">
      <c r="B11" s="208"/>
      <c r="C11" s="209"/>
    </row>
    <row r="12" spans="1:4" s="21" customFormat="1" ht="18" customHeight="1" x14ac:dyDescent="0.2">
      <c r="A12" s="364" t="s">
        <v>137</v>
      </c>
      <c r="B12" s="22" t="s">
        <v>139</v>
      </c>
      <c r="C12" s="213">
        <v>1</v>
      </c>
    </row>
    <row r="13" spans="1:4" s="21" customFormat="1" ht="18" customHeight="1" x14ac:dyDescent="0.2">
      <c r="A13" s="364"/>
      <c r="B13" s="22" t="s">
        <v>140</v>
      </c>
      <c r="C13" s="213">
        <v>2</v>
      </c>
    </row>
    <row r="14" spans="1:4" s="21" customFormat="1" ht="18" customHeight="1" x14ac:dyDescent="0.2">
      <c r="A14" s="364"/>
      <c r="B14" s="22" t="s">
        <v>144</v>
      </c>
      <c r="C14" s="213">
        <v>17</v>
      </c>
    </row>
    <row r="15" spans="1:4" s="21" customFormat="1" ht="18" customHeight="1" x14ac:dyDescent="0.2">
      <c r="A15" s="221" t="s">
        <v>149</v>
      </c>
      <c r="B15" s="22" t="s">
        <v>144</v>
      </c>
      <c r="C15" s="213">
        <v>17</v>
      </c>
      <c r="D15" s="223" t="str">
        <f>IF(C15="","",(IF(C14=C15,"PASS","FAIL")))</f>
        <v>PASS</v>
      </c>
    </row>
    <row r="16" spans="1:4" ht="18" customHeight="1" x14ac:dyDescent="0.2"/>
    <row r="17" spans="1:6" ht="18" customHeight="1" x14ac:dyDescent="0.2">
      <c r="A17" s="364" t="s">
        <v>150</v>
      </c>
      <c r="B17" s="22" t="s">
        <v>151</v>
      </c>
      <c r="C17" s="213">
        <v>13.5</v>
      </c>
      <c r="D17" s="223" t="str">
        <f>IF(C17="","",(IF(C8-C15=C17,"PASS","FAIL")))</f>
        <v>PASS</v>
      </c>
    </row>
    <row r="18" spans="1:6" ht="18" customHeight="1" x14ac:dyDescent="0.2">
      <c r="A18" s="364"/>
      <c r="B18" s="22" t="s">
        <v>142</v>
      </c>
      <c r="C18" s="213">
        <v>0.15</v>
      </c>
    </row>
    <row r="19" spans="1:6" ht="18" customHeight="1" x14ac:dyDescent="0.2">
      <c r="A19" s="214"/>
      <c r="B19" s="208"/>
      <c r="C19" s="209"/>
    </row>
    <row r="20" spans="1:6" ht="18" customHeight="1" x14ac:dyDescent="0.2">
      <c r="A20" s="364" t="s">
        <v>152</v>
      </c>
      <c r="B20" s="22" t="s">
        <v>147</v>
      </c>
      <c r="C20" s="222" t="s">
        <v>253</v>
      </c>
    </row>
    <row r="21" spans="1:6" ht="18" customHeight="1" x14ac:dyDescent="0.2">
      <c r="A21" s="364"/>
      <c r="B21" s="22" t="s">
        <v>41</v>
      </c>
      <c r="C21" s="23">
        <v>1</v>
      </c>
    </row>
    <row r="22" spans="1:6" ht="18" customHeight="1" x14ac:dyDescent="0.2">
      <c r="A22" s="364"/>
      <c r="B22" s="22" t="s">
        <v>42</v>
      </c>
      <c r="C22" s="23">
        <v>200</v>
      </c>
    </row>
    <row r="23" spans="1:6" ht="18" customHeight="1" x14ac:dyDescent="0.2">
      <c r="A23" s="364"/>
      <c r="B23" s="22" t="s">
        <v>153</v>
      </c>
      <c r="C23" s="215">
        <f>IF(C17="","",(C8-C17)*C10/40700)</f>
        <v>16.74061425061425</v>
      </c>
    </row>
    <row r="24" spans="1:6" ht="18" customHeight="1" x14ac:dyDescent="0.2">
      <c r="A24" s="365" t="s">
        <v>141</v>
      </c>
      <c r="B24" s="22" t="s">
        <v>151</v>
      </c>
      <c r="C24" s="224">
        <v>17</v>
      </c>
      <c r="D24" s="223" t="str">
        <f>IF(C24="","",(IF(ABS(C15-C24)&lt;0.2,"PASS","FAIL")))</f>
        <v>PASS</v>
      </c>
    </row>
    <row r="25" spans="1:6" ht="18" customHeight="1" x14ac:dyDescent="0.2">
      <c r="A25" s="365"/>
      <c r="B25" s="22" t="s">
        <v>142</v>
      </c>
      <c r="C25" s="213">
        <v>0.189</v>
      </c>
      <c r="D25" s="223" t="str">
        <f>IF(C25="","",(IF(ABS(C25-(C9-C18))&lt;0.002,"PASS","FAIL")))</f>
        <v>PASS</v>
      </c>
    </row>
    <row r="26" spans="1:6" ht="18" customHeight="1" x14ac:dyDescent="0.2">
      <c r="A26" s="216"/>
      <c r="B26" s="217"/>
      <c r="C26" s="218"/>
    </row>
    <row r="27" spans="1:6" x14ac:dyDescent="0.2">
      <c r="A27" s="364" t="s">
        <v>154</v>
      </c>
      <c r="B27" s="22" t="s">
        <v>151</v>
      </c>
      <c r="C27" s="224">
        <v>17</v>
      </c>
      <c r="D27" s="223" t="str">
        <f>IF(C27="","",(IF(C24=C27,"PASS","FAIL")))</f>
        <v>PASS</v>
      </c>
    </row>
    <row r="28" spans="1:6" ht="18" customHeight="1" x14ac:dyDescent="0.2">
      <c r="A28" s="364"/>
      <c r="B28" s="22" t="s">
        <v>142</v>
      </c>
      <c r="C28" s="213">
        <v>0.189</v>
      </c>
      <c r="D28" s="223" t="str">
        <f>IF(C28="","",(IF(ABS(C9-(C28+C18))&lt;0.002,"PASS","FAIL")))</f>
        <v>PASS</v>
      </c>
    </row>
    <row r="29" spans="1:6" ht="18" customHeight="1" x14ac:dyDescent="0.2">
      <c r="A29" s="21"/>
      <c r="B29" s="21"/>
      <c r="C29" s="209"/>
      <c r="D29" s="219"/>
      <c r="F29" s="220"/>
    </row>
    <row r="30" spans="1:6" ht="18" customHeight="1" x14ac:dyDescent="0.2">
      <c r="A30" s="211" t="s">
        <v>155</v>
      </c>
      <c r="B30" s="213" t="s">
        <v>254</v>
      </c>
      <c r="C30" s="210"/>
    </row>
    <row r="31" spans="1:6" ht="18" customHeight="1" x14ac:dyDescent="0.2"/>
    <row r="32" spans="1:6" ht="18" customHeight="1" x14ac:dyDescent="0.2"/>
    <row r="33" spans="3:3" x14ac:dyDescent="0.2">
      <c r="C33"/>
    </row>
    <row r="34" spans="3:3" ht="18" customHeight="1" x14ac:dyDescent="0.2">
      <c r="C34"/>
    </row>
    <row r="35" spans="3:3" ht="18" customHeight="1" x14ac:dyDescent="0.2">
      <c r="C35"/>
    </row>
    <row r="37" spans="3:3" x14ac:dyDescent="0.2">
      <c r="C37"/>
    </row>
    <row r="38" spans="3:3" x14ac:dyDescent="0.2">
      <c r="C38"/>
    </row>
  </sheetData>
  <mergeCells count="9">
    <mergeCell ref="A27:A28"/>
    <mergeCell ref="A17:A18"/>
    <mergeCell ref="A20:A23"/>
    <mergeCell ref="A24:A25"/>
    <mergeCell ref="A12:A14"/>
    <mergeCell ref="A1:B1"/>
    <mergeCell ref="A2:B2"/>
    <mergeCell ref="A4:A7"/>
    <mergeCell ref="A8:A10"/>
  </mergeCells>
  <phoneticPr fontId="78" type="noConversion"/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W17"/>
  <sheetViews>
    <sheetView workbookViewId="0">
      <selection activeCell="D10" sqref="D10"/>
    </sheetView>
  </sheetViews>
  <sheetFormatPr defaultRowHeight="15" x14ac:dyDescent="0.25"/>
  <cols>
    <col min="1" max="1" width="4" style="227" customWidth="1"/>
    <col min="2" max="2" width="46.7109375" style="227" customWidth="1"/>
    <col min="3" max="3" width="8.28515625" style="257" customWidth="1"/>
    <col min="4" max="5" width="18.85546875" style="227" customWidth="1"/>
    <col min="6" max="16384" width="9.140625" style="227"/>
  </cols>
  <sheetData>
    <row r="1" spans="1:23" ht="18" x14ac:dyDescent="0.25">
      <c r="A1" s="225" t="s">
        <v>0</v>
      </c>
      <c r="B1" s="225"/>
      <c r="C1" s="226"/>
      <c r="D1" s="225"/>
      <c r="E1" s="225"/>
      <c r="F1" s="225"/>
      <c r="G1" s="225"/>
      <c r="H1" s="225"/>
      <c r="I1" s="225"/>
      <c r="J1" s="225"/>
      <c r="K1" s="225"/>
      <c r="L1" s="225"/>
      <c r="M1" s="225"/>
      <c r="N1" s="225"/>
      <c r="O1" s="225"/>
      <c r="P1" s="225"/>
      <c r="Q1" s="225"/>
      <c r="R1" s="225"/>
      <c r="S1" s="225"/>
      <c r="T1" s="225"/>
      <c r="U1" s="225"/>
      <c r="V1" s="225"/>
      <c r="W1" s="225"/>
    </row>
    <row r="2" spans="1:23" ht="18" x14ac:dyDescent="0.25">
      <c r="A2" s="225" t="s">
        <v>157</v>
      </c>
      <c r="B2" s="225"/>
      <c r="C2" s="226"/>
      <c r="D2" s="225"/>
      <c r="E2" s="225"/>
      <c r="F2" s="225"/>
      <c r="G2" s="225"/>
      <c r="H2" s="225"/>
      <c r="I2" s="225"/>
      <c r="J2" s="225"/>
      <c r="K2" s="225"/>
      <c r="L2" s="225"/>
      <c r="M2" s="225"/>
      <c r="N2" s="225"/>
      <c r="O2" s="225"/>
      <c r="P2" s="225"/>
      <c r="Q2" s="225"/>
      <c r="R2" s="225"/>
      <c r="S2" s="225"/>
      <c r="T2" s="225"/>
      <c r="U2" s="225"/>
      <c r="V2" s="225"/>
      <c r="W2" s="225"/>
    </row>
    <row r="3" spans="1:23" ht="18.75" thickBot="1" x14ac:dyDescent="0.3">
      <c r="A3" s="225"/>
      <c r="B3" s="225"/>
      <c r="C3" s="226"/>
      <c r="D3" s="225"/>
      <c r="E3" s="225"/>
      <c r="F3" s="225"/>
      <c r="G3" s="225"/>
      <c r="H3" s="225"/>
      <c r="I3" s="225"/>
      <c r="J3" s="225"/>
      <c r="K3" s="225"/>
      <c r="L3" s="225"/>
      <c r="M3" s="225"/>
      <c r="N3" s="225"/>
      <c r="O3" s="225"/>
      <c r="P3" s="225"/>
      <c r="Q3" s="225"/>
      <c r="R3" s="225"/>
      <c r="S3" s="225"/>
      <c r="T3" s="225"/>
      <c r="U3" s="225"/>
      <c r="V3" s="225"/>
      <c r="W3" s="225"/>
    </row>
    <row r="4" spans="1:23" s="232" customFormat="1" ht="21" customHeight="1" thickTop="1" thickBot="1" x14ac:dyDescent="0.3">
      <c r="A4" s="228"/>
      <c r="B4" s="228"/>
      <c r="C4" s="229"/>
      <c r="D4" s="230" t="s">
        <v>158</v>
      </c>
      <c r="E4" s="231" t="s">
        <v>159</v>
      </c>
      <c r="F4" s="228"/>
      <c r="G4" s="228"/>
      <c r="H4" s="228"/>
      <c r="I4" s="228"/>
      <c r="J4" s="228"/>
      <c r="K4" s="228"/>
      <c r="L4" s="228"/>
      <c r="M4" s="228"/>
      <c r="N4" s="228"/>
      <c r="O4" s="228"/>
      <c r="P4" s="228"/>
      <c r="Q4" s="228"/>
      <c r="R4" s="228"/>
      <c r="S4" s="228"/>
      <c r="T4" s="228"/>
      <c r="U4" s="228"/>
      <c r="V4" s="228"/>
      <c r="W4" s="228"/>
    </row>
    <row r="5" spans="1:23" ht="21" customHeight="1" thickTop="1" x14ac:dyDescent="0.25">
      <c r="A5" s="233">
        <v>1</v>
      </c>
      <c r="B5" s="234" t="s">
        <v>160</v>
      </c>
      <c r="C5" s="235" t="s">
        <v>161</v>
      </c>
      <c r="D5" s="236"/>
      <c r="E5" s="237"/>
    </row>
    <row r="6" spans="1:23" ht="21" customHeight="1" x14ac:dyDescent="0.25">
      <c r="A6" s="238">
        <v>2</v>
      </c>
      <c r="B6" s="239" t="s">
        <v>162</v>
      </c>
      <c r="C6" s="240" t="s">
        <v>161</v>
      </c>
      <c r="D6" s="258"/>
      <c r="E6" s="241"/>
    </row>
    <row r="7" spans="1:23" ht="21" customHeight="1" x14ac:dyDescent="0.25">
      <c r="A7" s="238">
        <v>3</v>
      </c>
      <c r="B7" s="239" t="s">
        <v>163</v>
      </c>
      <c r="C7" s="240"/>
      <c r="D7" s="242"/>
      <c r="E7" s="243"/>
    </row>
    <row r="8" spans="1:23" ht="21" customHeight="1" x14ac:dyDescent="0.25">
      <c r="A8" s="238"/>
      <c r="B8" s="244" t="s">
        <v>164</v>
      </c>
      <c r="C8" s="240" t="s">
        <v>165</v>
      </c>
      <c r="D8" s="245"/>
      <c r="E8" s="241"/>
    </row>
    <row r="9" spans="1:23" ht="21" customHeight="1" x14ac:dyDescent="0.25">
      <c r="A9" s="238"/>
      <c r="B9" s="244" t="s">
        <v>166</v>
      </c>
      <c r="C9" s="240" t="s">
        <v>165</v>
      </c>
      <c r="D9" s="245"/>
      <c r="E9" s="241"/>
    </row>
    <row r="10" spans="1:23" ht="21" customHeight="1" x14ac:dyDescent="0.25">
      <c r="A10" s="238">
        <v>4</v>
      </c>
      <c r="B10" s="239" t="s">
        <v>167</v>
      </c>
      <c r="C10" s="240"/>
      <c r="D10" s="242"/>
      <c r="E10" s="243"/>
    </row>
    <row r="11" spans="1:23" ht="21" customHeight="1" x14ac:dyDescent="0.25">
      <c r="A11" s="246"/>
      <c r="B11" s="244" t="s">
        <v>164</v>
      </c>
      <c r="C11" s="240" t="s">
        <v>165</v>
      </c>
      <c r="D11" s="245"/>
      <c r="E11" s="247"/>
    </row>
    <row r="12" spans="1:23" ht="21" customHeight="1" x14ac:dyDescent="0.25">
      <c r="A12" s="246"/>
      <c r="B12" s="244" t="s">
        <v>166</v>
      </c>
      <c r="C12" s="240" t="s">
        <v>165</v>
      </c>
      <c r="D12" s="245"/>
      <c r="E12" s="247"/>
    </row>
    <row r="13" spans="1:23" ht="21" customHeight="1" x14ac:dyDescent="0.25">
      <c r="A13" s="246">
        <v>5</v>
      </c>
      <c r="B13" s="248" t="s">
        <v>168</v>
      </c>
      <c r="C13" s="249"/>
      <c r="D13" s="242"/>
      <c r="E13" s="250"/>
    </row>
    <row r="14" spans="1:23" ht="21" customHeight="1" x14ac:dyDescent="0.25">
      <c r="A14" s="246"/>
      <c r="B14" s="251" t="s">
        <v>169</v>
      </c>
      <c r="C14" s="240" t="s">
        <v>165</v>
      </c>
      <c r="D14" s="245"/>
      <c r="E14" s="247"/>
    </row>
    <row r="15" spans="1:23" ht="21" customHeight="1" x14ac:dyDescent="0.25">
      <c r="A15" s="246"/>
      <c r="B15" s="251" t="s">
        <v>170</v>
      </c>
      <c r="C15" s="240" t="s">
        <v>165</v>
      </c>
      <c r="D15" s="245"/>
      <c r="E15" s="247"/>
    </row>
    <row r="16" spans="1:23" ht="21" customHeight="1" thickBot="1" x14ac:dyDescent="0.3">
      <c r="A16" s="252"/>
      <c r="B16" s="253" t="s">
        <v>171</v>
      </c>
      <c r="C16" s="254" t="s">
        <v>165</v>
      </c>
      <c r="D16" s="255"/>
      <c r="E16" s="256"/>
    </row>
    <row r="17" ht="15.75" thickTop="1" x14ac:dyDescent="0.25"/>
  </sheetData>
  <phoneticPr fontId="78" type="noConversion"/>
  <pageMargins left="0.7" right="0.7" top="0.75" bottom="0.75" header="0.3" footer="0.3"/>
  <pageSetup orientation="landscape" r:id="rId1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I35"/>
  <sheetViews>
    <sheetView workbookViewId="0">
      <selection activeCell="B4" sqref="B4"/>
    </sheetView>
  </sheetViews>
  <sheetFormatPr defaultRowHeight="16.5" x14ac:dyDescent="0.25"/>
  <cols>
    <col min="1" max="1" width="14.85546875" style="297" customWidth="1"/>
    <col min="2" max="2" width="6" style="297" customWidth="1"/>
    <col min="3" max="3" width="8.85546875" style="297" customWidth="1"/>
    <col min="4" max="4" width="14.7109375" style="297" customWidth="1"/>
    <col min="5" max="5" width="7.7109375" style="297" customWidth="1"/>
    <col min="6" max="6" width="14.7109375" style="297" customWidth="1"/>
    <col min="7" max="7" width="2.7109375" style="297" customWidth="1"/>
    <col min="8" max="8" width="14.7109375" style="297" customWidth="1"/>
    <col min="9" max="9" width="16.85546875" style="297" customWidth="1"/>
    <col min="10" max="16384" width="9.140625" style="273"/>
  </cols>
  <sheetData>
    <row r="1" spans="1:9" ht="20.25" x14ac:dyDescent="0.25">
      <c r="A1" s="308" t="s">
        <v>210</v>
      </c>
      <c r="B1" s="308"/>
      <c r="C1" s="308"/>
      <c r="D1" s="308"/>
      <c r="E1" s="308"/>
      <c r="F1" s="308"/>
      <c r="G1" s="308"/>
      <c r="H1" s="308"/>
      <c r="I1" s="308"/>
    </row>
    <row r="3" spans="1:9" x14ac:dyDescent="0.25">
      <c r="A3" s="274" t="s">
        <v>211</v>
      </c>
      <c r="B3" s="309">
        <v>43178</v>
      </c>
      <c r="C3" s="310"/>
      <c r="D3" s="274"/>
      <c r="E3" s="274"/>
      <c r="F3" s="311" t="s">
        <v>126</v>
      </c>
      <c r="G3" s="311"/>
      <c r="H3" s="311"/>
      <c r="I3" s="275" t="s">
        <v>238</v>
      </c>
    </row>
    <row r="4" spans="1:9" x14ac:dyDescent="0.25">
      <c r="A4" s="274"/>
      <c r="B4" s="274"/>
      <c r="C4" s="274"/>
      <c r="D4" s="274"/>
      <c r="E4" s="274"/>
      <c r="F4" s="274"/>
      <c r="G4" s="274"/>
      <c r="H4" s="274"/>
      <c r="I4" s="274"/>
    </row>
    <row r="5" spans="1:9" ht="18.75" x14ac:dyDescent="0.25">
      <c r="A5" s="276" t="s">
        <v>174</v>
      </c>
      <c r="B5" s="274"/>
      <c r="C5" s="274"/>
      <c r="D5" s="274"/>
      <c r="E5" s="274"/>
      <c r="F5" s="274"/>
      <c r="G5" s="274"/>
      <c r="H5" s="274"/>
      <c r="I5" s="274"/>
    </row>
    <row r="6" spans="1:9" x14ac:dyDescent="0.25">
      <c r="A6" s="274" t="s">
        <v>175</v>
      </c>
      <c r="B6" s="310" t="s">
        <v>226</v>
      </c>
      <c r="C6" s="310"/>
      <c r="D6" s="274"/>
      <c r="E6" s="274"/>
      <c r="F6" s="311" t="s">
        <v>224</v>
      </c>
      <c r="G6" s="311"/>
      <c r="H6" s="311"/>
      <c r="I6" s="303">
        <v>43050</v>
      </c>
    </row>
    <row r="7" spans="1:9" x14ac:dyDescent="0.25">
      <c r="A7" s="274" t="s">
        <v>176</v>
      </c>
      <c r="B7" s="314" t="s">
        <v>241</v>
      </c>
      <c r="C7" s="314"/>
      <c r="D7" s="274"/>
      <c r="E7" s="274"/>
      <c r="F7" s="311" t="s">
        <v>225</v>
      </c>
      <c r="G7" s="311"/>
      <c r="H7" s="311"/>
      <c r="I7" s="275" t="s">
        <v>242</v>
      </c>
    </row>
    <row r="8" spans="1:9" x14ac:dyDescent="0.25">
      <c r="A8" s="274"/>
      <c r="B8" s="274"/>
      <c r="C8" s="274"/>
      <c r="D8" s="274"/>
      <c r="E8" s="274"/>
      <c r="F8" s="274"/>
      <c r="G8" s="274"/>
      <c r="H8" s="274"/>
      <c r="I8" s="274"/>
    </row>
    <row r="9" spans="1:9" ht="20.25" customHeight="1" x14ac:dyDescent="0.25">
      <c r="A9" s="315" t="s">
        <v>212</v>
      </c>
      <c r="B9" s="316"/>
      <c r="C9" s="316"/>
      <c r="D9" s="316"/>
      <c r="E9" s="316"/>
      <c r="F9" s="316"/>
      <c r="G9" s="316"/>
      <c r="H9" s="316"/>
      <c r="I9" s="317"/>
    </row>
    <row r="10" spans="1:9" ht="15" x14ac:dyDescent="0.25">
      <c r="A10" s="318" t="s">
        <v>178</v>
      </c>
      <c r="B10" s="319"/>
      <c r="C10" s="319"/>
      <c r="D10" s="319"/>
      <c r="E10" s="319"/>
      <c r="F10" s="319"/>
      <c r="G10" s="319"/>
      <c r="H10" s="319"/>
      <c r="I10" s="320"/>
    </row>
    <row r="11" spans="1:9" x14ac:dyDescent="0.25">
      <c r="A11" s="277"/>
      <c r="B11" s="278"/>
      <c r="C11" s="278"/>
      <c r="D11" s="278"/>
      <c r="E11" s="278"/>
      <c r="F11" s="278"/>
      <c r="G11" s="278"/>
      <c r="H11" s="278"/>
      <c r="I11" s="279"/>
    </row>
    <row r="12" spans="1:9" x14ac:dyDescent="0.25">
      <c r="A12" s="280" t="s">
        <v>179</v>
      </c>
      <c r="B12" s="278"/>
      <c r="C12" s="278"/>
      <c r="D12" s="278"/>
      <c r="E12" s="278"/>
      <c r="F12" s="278"/>
      <c r="G12" s="278"/>
      <c r="H12" s="278"/>
      <c r="I12" s="279"/>
    </row>
    <row r="13" spans="1:9" x14ac:dyDescent="0.25">
      <c r="A13" s="281" t="s">
        <v>180</v>
      </c>
      <c r="B13" s="310" t="s">
        <v>239</v>
      </c>
      <c r="C13" s="310"/>
      <c r="D13" s="278"/>
      <c r="E13" s="282" t="s">
        <v>181</v>
      </c>
      <c r="F13" s="275">
        <v>1543</v>
      </c>
      <c r="G13" s="278"/>
      <c r="H13" s="278"/>
      <c r="I13" s="279"/>
    </row>
    <row r="14" spans="1:9" x14ac:dyDescent="0.25">
      <c r="A14" s="283"/>
      <c r="B14" s="284"/>
      <c r="C14" s="284"/>
      <c r="D14" s="284"/>
      <c r="E14" s="284"/>
      <c r="F14" s="284"/>
      <c r="G14" s="284"/>
      <c r="H14" s="284"/>
      <c r="I14" s="285"/>
    </row>
    <row r="15" spans="1:9" x14ac:dyDescent="0.25">
      <c r="A15" s="286" t="s">
        <v>182</v>
      </c>
      <c r="B15" s="284"/>
      <c r="C15" s="284"/>
      <c r="D15" s="284"/>
      <c r="E15" s="284"/>
      <c r="F15" s="284"/>
      <c r="G15" s="284"/>
      <c r="H15" s="284"/>
      <c r="I15" s="287" t="s">
        <v>183</v>
      </c>
    </row>
    <row r="16" spans="1:9" ht="21.75" customHeight="1" x14ac:dyDescent="0.25">
      <c r="A16" s="283"/>
      <c r="B16" s="312" t="s">
        <v>184</v>
      </c>
      <c r="C16" s="312"/>
      <c r="D16" s="312"/>
      <c r="E16" s="312"/>
      <c r="F16" s="312"/>
      <c r="G16" s="312"/>
      <c r="H16" s="312"/>
      <c r="I16" s="285"/>
    </row>
    <row r="17" spans="1:9" ht="34.5" customHeight="1" x14ac:dyDescent="0.25">
      <c r="A17" s="283"/>
      <c r="B17" s="313" t="s">
        <v>213</v>
      </c>
      <c r="C17" s="313"/>
      <c r="D17" s="313"/>
      <c r="E17" s="313"/>
      <c r="F17" s="313"/>
      <c r="G17" s="313"/>
      <c r="H17" s="313"/>
      <c r="I17" s="285"/>
    </row>
    <row r="18" spans="1:9" ht="21.75" customHeight="1" x14ac:dyDescent="0.25">
      <c r="A18" s="283"/>
      <c r="B18" s="312" t="s">
        <v>214</v>
      </c>
      <c r="C18" s="312"/>
      <c r="D18" s="312"/>
      <c r="E18" s="312"/>
      <c r="F18" s="312"/>
      <c r="G18" s="312"/>
      <c r="H18" s="312"/>
      <c r="I18" s="285"/>
    </row>
    <row r="19" spans="1:9" ht="21.75" customHeight="1" x14ac:dyDescent="0.25">
      <c r="A19" s="283"/>
      <c r="B19" s="312" t="s">
        <v>215</v>
      </c>
      <c r="C19" s="312"/>
      <c r="D19" s="312"/>
      <c r="E19" s="312"/>
      <c r="F19" s="312"/>
      <c r="G19" s="312"/>
      <c r="H19" s="312"/>
      <c r="I19" s="285"/>
    </row>
    <row r="20" spans="1:9" ht="13.5" customHeight="1" x14ac:dyDescent="0.25">
      <c r="A20" s="283"/>
      <c r="B20" s="284"/>
      <c r="C20" s="284"/>
      <c r="D20" s="284"/>
      <c r="E20" s="284"/>
      <c r="F20" s="284"/>
      <c r="G20" s="284"/>
      <c r="H20" s="284"/>
      <c r="I20" s="285"/>
    </row>
    <row r="21" spans="1:9" ht="33" x14ac:dyDescent="0.25">
      <c r="A21" s="283"/>
      <c r="B21" s="284"/>
      <c r="C21" s="284"/>
      <c r="D21" s="284"/>
      <c r="E21" s="284"/>
      <c r="F21" s="288" t="s">
        <v>187</v>
      </c>
      <c r="G21" s="288"/>
      <c r="H21" s="289" t="s">
        <v>222</v>
      </c>
      <c r="I21" s="287" t="s">
        <v>183</v>
      </c>
    </row>
    <row r="22" spans="1:9" x14ac:dyDescent="0.25">
      <c r="A22" s="286" t="s">
        <v>188</v>
      </c>
      <c r="B22" s="284"/>
      <c r="C22" s="284"/>
      <c r="D22" s="284"/>
      <c r="E22" s="284"/>
      <c r="F22" s="284"/>
      <c r="G22" s="284"/>
      <c r="H22" s="284"/>
      <c r="I22" s="285"/>
    </row>
    <row r="23" spans="1:9" ht="21.75" customHeight="1" x14ac:dyDescent="0.25">
      <c r="A23" s="322" t="s">
        <v>189</v>
      </c>
      <c r="B23" s="312"/>
      <c r="C23" s="312"/>
      <c r="D23" s="312"/>
      <c r="E23" s="312"/>
      <c r="F23" s="312"/>
      <c r="G23" s="290"/>
      <c r="H23" s="291">
        <v>34</v>
      </c>
      <c r="I23" s="285"/>
    </row>
    <row r="24" spans="1:9" ht="21.75" customHeight="1" x14ac:dyDescent="0.25">
      <c r="A24" s="322" t="s">
        <v>190</v>
      </c>
      <c r="B24" s="312"/>
      <c r="C24" s="312"/>
      <c r="D24" s="312"/>
      <c r="E24" s="312"/>
      <c r="F24" s="312"/>
      <c r="G24" s="290"/>
      <c r="H24" s="292">
        <v>1.4</v>
      </c>
      <c r="I24" s="285"/>
    </row>
    <row r="25" spans="1:9" ht="21.75" customHeight="1" x14ac:dyDescent="0.25">
      <c r="A25" s="322" t="s">
        <v>216</v>
      </c>
      <c r="B25" s="312"/>
      <c r="C25" s="312"/>
      <c r="D25" s="312"/>
      <c r="E25" s="312"/>
      <c r="F25" s="312"/>
      <c r="G25" s="290"/>
      <c r="H25" s="292" t="s">
        <v>235</v>
      </c>
      <c r="I25" s="285"/>
    </row>
    <row r="26" spans="1:9" ht="21.75" customHeight="1" x14ac:dyDescent="0.25">
      <c r="A26" s="322" t="s">
        <v>217</v>
      </c>
      <c r="B26" s="312"/>
      <c r="C26" s="312"/>
      <c r="D26" s="312"/>
      <c r="E26" s="312"/>
      <c r="F26" s="312"/>
      <c r="G26" s="290"/>
      <c r="H26" s="292" t="s">
        <v>235</v>
      </c>
      <c r="I26" s="285"/>
    </row>
    <row r="27" spans="1:9" ht="21" customHeight="1" x14ac:dyDescent="0.3">
      <c r="A27" s="322" t="s">
        <v>192</v>
      </c>
      <c r="B27" s="312"/>
      <c r="C27" s="312"/>
      <c r="D27" s="312"/>
      <c r="E27" s="312"/>
      <c r="F27" s="312"/>
      <c r="G27" s="290"/>
      <c r="H27" s="292" t="s">
        <v>236</v>
      </c>
      <c r="I27" s="293"/>
    </row>
    <row r="28" spans="1:9" ht="20.25" customHeight="1" x14ac:dyDescent="0.25">
      <c r="A28" s="324" t="s">
        <v>193</v>
      </c>
      <c r="B28" s="325"/>
      <c r="C28" s="325"/>
      <c r="D28" s="325"/>
      <c r="E28" s="325"/>
      <c r="F28" s="325"/>
      <c r="G28" s="290"/>
      <c r="H28" s="284"/>
      <c r="I28" s="285"/>
    </row>
    <row r="29" spans="1:9" ht="20.25" customHeight="1" x14ac:dyDescent="0.25">
      <c r="A29" s="322" t="s">
        <v>218</v>
      </c>
      <c r="B29" s="312"/>
      <c r="C29" s="312"/>
      <c r="D29" s="312"/>
      <c r="E29" s="312"/>
      <c r="F29" s="312"/>
      <c r="G29" s="290"/>
      <c r="H29" s="291">
        <v>0.2</v>
      </c>
      <c r="I29" s="285"/>
    </row>
    <row r="30" spans="1:9" x14ac:dyDescent="0.25">
      <c r="A30" s="283"/>
      <c r="B30" s="284"/>
      <c r="C30" s="284"/>
      <c r="D30" s="284"/>
      <c r="E30" s="284"/>
      <c r="F30" s="284"/>
      <c r="G30" s="284"/>
      <c r="H30" s="284"/>
      <c r="I30" s="285"/>
    </row>
    <row r="31" spans="1:9" x14ac:dyDescent="0.25">
      <c r="A31" s="286" t="s">
        <v>219</v>
      </c>
      <c r="B31" s="284"/>
      <c r="C31" s="284"/>
      <c r="D31" s="284"/>
      <c r="E31" s="284"/>
      <c r="F31" s="284"/>
      <c r="G31" s="284"/>
      <c r="H31" s="284"/>
      <c r="I31" s="285"/>
    </row>
    <row r="32" spans="1:9" ht="21" customHeight="1" x14ac:dyDescent="0.25">
      <c r="A32" s="366" t="s">
        <v>220</v>
      </c>
      <c r="B32" s="367"/>
      <c r="C32" s="367"/>
      <c r="D32" s="367"/>
      <c r="E32" s="367"/>
      <c r="F32" s="367"/>
      <c r="G32" s="367"/>
      <c r="H32" s="367"/>
      <c r="I32" s="368"/>
    </row>
    <row r="33" spans="1:9" ht="32.25" customHeight="1" x14ac:dyDescent="0.25">
      <c r="A33" s="369" t="s">
        <v>221</v>
      </c>
      <c r="B33" s="370"/>
      <c r="C33" s="370"/>
      <c r="D33" s="370"/>
      <c r="E33" s="370"/>
      <c r="F33" s="370"/>
      <c r="G33" s="370"/>
      <c r="H33" s="370"/>
      <c r="I33" s="371"/>
    </row>
    <row r="34" spans="1:9" ht="21" customHeight="1" x14ac:dyDescent="0.25">
      <c r="A34" s="296"/>
      <c r="B34" s="296"/>
      <c r="C34" s="296"/>
      <c r="D34" s="296"/>
      <c r="E34" s="296"/>
      <c r="F34" s="296"/>
    </row>
    <row r="35" spans="1:9" x14ac:dyDescent="0.25">
      <c r="A35" s="298" t="s">
        <v>197</v>
      </c>
      <c r="C35" s="323" t="s">
        <v>237</v>
      </c>
      <c r="D35" s="323"/>
      <c r="E35" s="284"/>
      <c r="G35" s="299" t="s">
        <v>198</v>
      </c>
      <c r="H35" s="355">
        <v>43171</v>
      </c>
      <c r="I35" s="355"/>
    </row>
  </sheetData>
  <mergeCells count="25">
    <mergeCell ref="B7:C7"/>
    <mergeCell ref="F7:H7"/>
    <mergeCell ref="A32:I32"/>
    <mergeCell ref="A33:I33"/>
    <mergeCell ref="C35:D35"/>
    <mergeCell ref="A25:F25"/>
    <mergeCell ref="A26:F26"/>
    <mergeCell ref="A28:F28"/>
    <mergeCell ref="A29:F29"/>
    <mergeCell ref="A27:F27"/>
    <mergeCell ref="H35:I35"/>
    <mergeCell ref="A1:I1"/>
    <mergeCell ref="B3:C3"/>
    <mergeCell ref="F3:H3"/>
    <mergeCell ref="B6:C6"/>
    <mergeCell ref="F6:H6"/>
    <mergeCell ref="A9:I9"/>
    <mergeCell ref="A10:I10"/>
    <mergeCell ref="A24:F24"/>
    <mergeCell ref="B13:C13"/>
    <mergeCell ref="B16:H16"/>
    <mergeCell ref="B17:H17"/>
    <mergeCell ref="B18:H18"/>
    <mergeCell ref="B19:H19"/>
    <mergeCell ref="A23:F23"/>
  </mergeCells>
  <phoneticPr fontId="78" type="noConversion"/>
  <pageMargins left="0.25" right="0.25" top="0.75" bottom="0.75" header="0.3" footer="0.3"/>
  <pageSetup orientation="portrait" r:id="rId1"/>
  <drawing r:id="rId2"/>
  <legacyDrawing r:id="rId3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10241" r:id="rId4" name="Check Box 1">
              <controlPr defaultSize="0" autoFill="0" autoLine="0" autoPict="0">
                <anchor moveWithCells="1">
                  <from>
                    <xdr:col>8</xdr:col>
                    <xdr:colOff>38100</xdr:colOff>
                    <xdr:row>15</xdr:row>
                    <xdr:rowOff>38100</xdr:rowOff>
                  </from>
                  <to>
                    <xdr:col>8</xdr:col>
                    <xdr:colOff>342900</xdr:colOff>
                    <xdr:row>15</xdr:row>
                    <xdr:rowOff>257175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242" r:id="rId5" name="Check Box 2">
              <controlPr defaultSize="0" autoFill="0" autoLine="0" autoPict="0">
                <anchor moveWithCells="1">
                  <from>
                    <xdr:col>8</xdr:col>
                    <xdr:colOff>657225</xdr:colOff>
                    <xdr:row>15</xdr:row>
                    <xdr:rowOff>38100</xdr:rowOff>
                  </from>
                  <to>
                    <xdr:col>8</xdr:col>
                    <xdr:colOff>962025</xdr:colOff>
                    <xdr:row>15</xdr:row>
                    <xdr:rowOff>257175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243" r:id="rId6" name="Check Box 3">
              <controlPr defaultSize="0" autoFill="0" autoLine="0" autoPict="0">
                <anchor moveWithCells="1">
                  <from>
                    <xdr:col>8</xdr:col>
                    <xdr:colOff>38100</xdr:colOff>
                    <xdr:row>16</xdr:row>
                    <xdr:rowOff>38100</xdr:rowOff>
                  </from>
                  <to>
                    <xdr:col>8</xdr:col>
                    <xdr:colOff>342900</xdr:colOff>
                    <xdr:row>16</xdr:row>
                    <xdr:rowOff>257175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244" r:id="rId7" name="Check Box 4">
              <controlPr defaultSize="0" autoFill="0" autoLine="0" autoPict="0">
                <anchor moveWithCells="1">
                  <from>
                    <xdr:col>8</xdr:col>
                    <xdr:colOff>657225</xdr:colOff>
                    <xdr:row>16</xdr:row>
                    <xdr:rowOff>38100</xdr:rowOff>
                  </from>
                  <to>
                    <xdr:col>8</xdr:col>
                    <xdr:colOff>962025</xdr:colOff>
                    <xdr:row>16</xdr:row>
                    <xdr:rowOff>257175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245" r:id="rId8" name="Check Box 5">
              <controlPr defaultSize="0" autoFill="0" autoLine="0" autoPict="0">
                <anchor moveWithCells="1">
                  <from>
                    <xdr:col>8</xdr:col>
                    <xdr:colOff>38100</xdr:colOff>
                    <xdr:row>17</xdr:row>
                    <xdr:rowOff>38100</xdr:rowOff>
                  </from>
                  <to>
                    <xdr:col>8</xdr:col>
                    <xdr:colOff>342900</xdr:colOff>
                    <xdr:row>17</xdr:row>
                    <xdr:rowOff>257175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246" r:id="rId9" name="Check Box 6">
              <controlPr defaultSize="0" autoFill="0" autoLine="0" autoPict="0">
                <anchor moveWithCells="1">
                  <from>
                    <xdr:col>8</xdr:col>
                    <xdr:colOff>657225</xdr:colOff>
                    <xdr:row>17</xdr:row>
                    <xdr:rowOff>38100</xdr:rowOff>
                  </from>
                  <to>
                    <xdr:col>8</xdr:col>
                    <xdr:colOff>962025</xdr:colOff>
                    <xdr:row>17</xdr:row>
                    <xdr:rowOff>257175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247" r:id="rId10" name="Check Box 7">
              <controlPr defaultSize="0" autoFill="0" autoLine="0" autoPict="0">
                <anchor moveWithCells="1">
                  <from>
                    <xdr:col>8</xdr:col>
                    <xdr:colOff>38100</xdr:colOff>
                    <xdr:row>22</xdr:row>
                    <xdr:rowOff>38100</xdr:rowOff>
                  </from>
                  <to>
                    <xdr:col>8</xdr:col>
                    <xdr:colOff>342900</xdr:colOff>
                    <xdr:row>22</xdr:row>
                    <xdr:rowOff>257175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248" r:id="rId11" name="Check Box 8">
              <controlPr defaultSize="0" autoFill="0" autoLine="0" autoPict="0">
                <anchor moveWithCells="1">
                  <from>
                    <xdr:col>8</xdr:col>
                    <xdr:colOff>657225</xdr:colOff>
                    <xdr:row>22</xdr:row>
                    <xdr:rowOff>38100</xdr:rowOff>
                  </from>
                  <to>
                    <xdr:col>8</xdr:col>
                    <xdr:colOff>962025</xdr:colOff>
                    <xdr:row>22</xdr:row>
                    <xdr:rowOff>257175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249" r:id="rId12" name="Check Box 9">
              <controlPr defaultSize="0" autoFill="0" autoLine="0" autoPict="0">
                <anchor moveWithCells="1">
                  <from>
                    <xdr:col>8</xdr:col>
                    <xdr:colOff>38100</xdr:colOff>
                    <xdr:row>23</xdr:row>
                    <xdr:rowOff>38100</xdr:rowOff>
                  </from>
                  <to>
                    <xdr:col>8</xdr:col>
                    <xdr:colOff>342900</xdr:colOff>
                    <xdr:row>23</xdr:row>
                    <xdr:rowOff>257175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250" r:id="rId13" name="Check Box 10">
              <controlPr defaultSize="0" autoFill="0" autoLine="0" autoPict="0">
                <anchor moveWithCells="1">
                  <from>
                    <xdr:col>8</xdr:col>
                    <xdr:colOff>657225</xdr:colOff>
                    <xdr:row>23</xdr:row>
                    <xdr:rowOff>38100</xdr:rowOff>
                  </from>
                  <to>
                    <xdr:col>8</xdr:col>
                    <xdr:colOff>962025</xdr:colOff>
                    <xdr:row>23</xdr:row>
                    <xdr:rowOff>257175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251" r:id="rId14" name="Check Box 11">
              <controlPr defaultSize="0" autoFill="0" autoLine="0" autoPict="0">
                <anchor moveWithCells="1">
                  <from>
                    <xdr:col>8</xdr:col>
                    <xdr:colOff>38100</xdr:colOff>
                    <xdr:row>24</xdr:row>
                    <xdr:rowOff>38100</xdr:rowOff>
                  </from>
                  <to>
                    <xdr:col>8</xdr:col>
                    <xdr:colOff>342900</xdr:colOff>
                    <xdr:row>24</xdr:row>
                    <xdr:rowOff>257175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252" r:id="rId15" name="Check Box 12">
              <controlPr defaultSize="0" autoFill="0" autoLine="0" autoPict="0">
                <anchor moveWithCells="1">
                  <from>
                    <xdr:col>8</xdr:col>
                    <xdr:colOff>657225</xdr:colOff>
                    <xdr:row>24</xdr:row>
                    <xdr:rowOff>38100</xdr:rowOff>
                  </from>
                  <to>
                    <xdr:col>8</xdr:col>
                    <xdr:colOff>962025</xdr:colOff>
                    <xdr:row>24</xdr:row>
                    <xdr:rowOff>257175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253" r:id="rId16" name="Check Box 13">
              <controlPr defaultSize="0" autoFill="0" autoLine="0" autoPict="0">
                <anchor moveWithCells="1">
                  <from>
                    <xdr:col>8</xdr:col>
                    <xdr:colOff>38100</xdr:colOff>
                    <xdr:row>26</xdr:row>
                    <xdr:rowOff>38100</xdr:rowOff>
                  </from>
                  <to>
                    <xdr:col>8</xdr:col>
                    <xdr:colOff>342900</xdr:colOff>
                    <xdr:row>26</xdr:row>
                    <xdr:rowOff>257175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254" r:id="rId17" name="Check Box 14">
              <controlPr defaultSize="0" autoFill="0" autoLine="0" autoPict="0">
                <anchor moveWithCells="1">
                  <from>
                    <xdr:col>8</xdr:col>
                    <xdr:colOff>657225</xdr:colOff>
                    <xdr:row>26</xdr:row>
                    <xdr:rowOff>38100</xdr:rowOff>
                  </from>
                  <to>
                    <xdr:col>8</xdr:col>
                    <xdr:colOff>962025</xdr:colOff>
                    <xdr:row>26</xdr:row>
                    <xdr:rowOff>257175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255" r:id="rId18" name="Check Box 15">
              <controlPr defaultSize="0" autoFill="0" autoLine="0" autoPict="0">
                <anchor moveWithCells="1">
                  <from>
                    <xdr:col>8</xdr:col>
                    <xdr:colOff>38100</xdr:colOff>
                    <xdr:row>18</xdr:row>
                    <xdr:rowOff>38100</xdr:rowOff>
                  </from>
                  <to>
                    <xdr:col>8</xdr:col>
                    <xdr:colOff>342900</xdr:colOff>
                    <xdr:row>18</xdr:row>
                    <xdr:rowOff>257175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256" r:id="rId19" name="Check Box 16">
              <controlPr defaultSize="0" autoFill="0" autoLine="0" autoPict="0">
                <anchor moveWithCells="1">
                  <from>
                    <xdr:col>8</xdr:col>
                    <xdr:colOff>657225</xdr:colOff>
                    <xdr:row>18</xdr:row>
                    <xdr:rowOff>38100</xdr:rowOff>
                  </from>
                  <to>
                    <xdr:col>8</xdr:col>
                    <xdr:colOff>962025</xdr:colOff>
                    <xdr:row>18</xdr:row>
                    <xdr:rowOff>257175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257" r:id="rId20" name="Check Box 17">
              <controlPr defaultSize="0" autoFill="0" autoLine="0" autoPict="0">
                <anchor moveWithCells="1">
                  <from>
                    <xdr:col>8</xdr:col>
                    <xdr:colOff>38100</xdr:colOff>
                    <xdr:row>25</xdr:row>
                    <xdr:rowOff>38100</xdr:rowOff>
                  </from>
                  <to>
                    <xdr:col>8</xdr:col>
                    <xdr:colOff>342900</xdr:colOff>
                    <xdr:row>25</xdr:row>
                    <xdr:rowOff>257175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258" r:id="rId21" name="Check Box 18">
              <controlPr defaultSize="0" autoFill="0" autoLine="0" autoPict="0">
                <anchor moveWithCells="1">
                  <from>
                    <xdr:col>8</xdr:col>
                    <xdr:colOff>657225</xdr:colOff>
                    <xdr:row>25</xdr:row>
                    <xdr:rowOff>38100</xdr:rowOff>
                  </from>
                  <to>
                    <xdr:col>8</xdr:col>
                    <xdr:colOff>962025</xdr:colOff>
                    <xdr:row>25</xdr:row>
                    <xdr:rowOff>257175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259" r:id="rId22" name="Check Box 19">
              <controlPr defaultSize="0" autoFill="0" autoLine="0" autoPict="0">
                <anchor moveWithCells="1">
                  <from>
                    <xdr:col>8</xdr:col>
                    <xdr:colOff>38100</xdr:colOff>
                    <xdr:row>28</xdr:row>
                    <xdr:rowOff>38100</xdr:rowOff>
                  </from>
                  <to>
                    <xdr:col>8</xdr:col>
                    <xdr:colOff>342900</xdr:colOff>
                    <xdr:row>29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260" r:id="rId23" name="Check Box 20">
              <controlPr defaultSize="0" autoFill="0" autoLine="0" autoPict="0">
                <anchor moveWithCells="1">
                  <from>
                    <xdr:col>8</xdr:col>
                    <xdr:colOff>657225</xdr:colOff>
                    <xdr:row>28</xdr:row>
                    <xdr:rowOff>38100</xdr:rowOff>
                  </from>
                  <to>
                    <xdr:col>8</xdr:col>
                    <xdr:colOff>962025</xdr:colOff>
                    <xdr:row>29</xdr:row>
                    <xdr:rowOff>0</xdr:rowOff>
                  </to>
                </anchor>
              </controlPr>
            </control>
          </mc:Choice>
        </mc:AlternateContent>
      </controls>
    </mc:Choice>
  </mc:AlternateConten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HDR Quarterly QA</vt:lpstr>
      <vt:lpstr>Source Receipt Survey</vt:lpstr>
      <vt:lpstr>Exit Dose Calibration</vt:lpstr>
      <vt:lpstr>New Source Calibration</vt:lpstr>
      <vt:lpstr>New Source Survey</vt:lpstr>
      <vt:lpstr>Decay Chart</vt:lpstr>
      <vt:lpstr>Daily Safety &amp; QA</vt:lpstr>
      <vt:lpstr>Power Failure Recovery</vt:lpstr>
      <vt:lpstr>Applicators &amp; Transfer Tubes</vt:lpstr>
      <vt:lpstr>Source Return Survey</vt:lpstr>
    </vt:vector>
  </TitlesOfParts>
  <Company>KGH</Company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Halsall, Tracy</dc:creator>
  <cp:lastModifiedBy>"gsalomon"</cp:lastModifiedBy>
  <cp:lastPrinted>2018-04-06T20:36:34Z</cp:lastPrinted>
  <dcterms:created xsi:type="dcterms:W3CDTF">2015-11-26T15:27:16Z</dcterms:created>
  <dcterms:modified xsi:type="dcterms:W3CDTF">2018-12-10T20:55:30Z</dcterms:modified>
</cp:coreProperties>
</file>