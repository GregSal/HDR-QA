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480" yWindow="540" windowWidth="11715" windowHeight="13740" tabRatio="814" activeTab="2"/>
  </bookViews>
  <sheets>
    <sheet name="HDR Quarterly QA" sheetId="1" r:id="rId1"/>
    <sheet name="Exit Dose Calibration" sheetId="7" r:id="rId2"/>
    <sheet name="New Source Calibration" sheetId="8" r:id="rId3"/>
    <sheet name="Decay Chart" sheetId="9" r:id="rId4"/>
    <sheet name="Daily Safety &amp; QA" sheetId="5" r:id="rId5"/>
    <sheet name="Power Failure Recovery" sheetId="6" r:id="rId6"/>
    <sheet name="Applicators &amp; Transfer Tubes" sheetId="10" r:id="rId7"/>
  </sheets>
  <externalReferences>
    <externalReference r:id="rId8"/>
  </externalReferences>
  <calcPr calcId="145621"/>
</workbook>
</file>

<file path=xl/calcChain.xml><?xml version="1.0" encoding="utf-8"?>
<calcChain xmlns="http://schemas.openxmlformats.org/spreadsheetml/2006/main">
  <c r="C11" i="9" l="1"/>
  <c r="C12" i="9" s="1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E10" i="9"/>
  <c r="D10" i="9"/>
  <c r="L6" i="9"/>
  <c r="E6" i="9"/>
  <c r="P5" i="9"/>
  <c r="L5" i="9"/>
  <c r="D5" i="9"/>
  <c r="B36" i="8"/>
  <c r="B37" i="8" s="1"/>
  <c r="D37" i="8" s="1"/>
  <c r="D39" i="8" s="1"/>
  <c r="E31" i="8"/>
  <c r="E30" i="8"/>
  <c r="E28" i="8"/>
  <c r="Q25" i="8"/>
  <c r="O25" i="8"/>
  <c r="N25" i="8"/>
  <c r="M25" i="8"/>
  <c r="L25" i="8"/>
  <c r="K25" i="8"/>
  <c r="J25" i="8"/>
  <c r="I25" i="8"/>
  <c r="F23" i="8"/>
  <c r="F22" i="8"/>
  <c r="E20" i="8"/>
  <c r="E26" i="8" s="1"/>
  <c r="A19" i="8"/>
  <c r="F11" i="8"/>
  <c r="E27" i="8" s="1"/>
  <c r="B6" i="8"/>
  <c r="E6" i="8" s="1"/>
  <c r="E29" i="8" s="1"/>
  <c r="B36" i="7"/>
  <c r="B37" i="7" s="1"/>
  <c r="D37" i="7" s="1"/>
  <c r="D39" i="7" s="1"/>
  <c r="E31" i="7"/>
  <c r="E30" i="7"/>
  <c r="E28" i="7"/>
  <c r="Q25" i="7"/>
  <c r="O25" i="7"/>
  <c r="N25" i="7"/>
  <c r="M25" i="7"/>
  <c r="L25" i="7"/>
  <c r="K25" i="7"/>
  <c r="J25" i="7"/>
  <c r="I25" i="7"/>
  <c r="F23" i="7"/>
  <c r="F22" i="7"/>
  <c r="E20" i="7"/>
  <c r="E26" i="7" s="1"/>
  <c r="A19" i="7"/>
  <c r="F11" i="7"/>
  <c r="E27" i="7" s="1"/>
  <c r="B6" i="7"/>
  <c r="E6" i="7" s="1"/>
  <c r="E29" i="7" s="1"/>
  <c r="C13" i="9" l="1"/>
  <c r="D12" i="9"/>
  <c r="D11" i="9"/>
  <c r="E11" i="9"/>
  <c r="E12" i="9"/>
  <c r="E13" i="9"/>
  <c r="B31" i="8"/>
  <c r="B31" i="7"/>
  <c r="C14" i="9" l="1"/>
  <c r="D13" i="9"/>
  <c r="D40" i="8"/>
  <c r="B32" i="8"/>
  <c r="D32" i="8"/>
  <c r="D40" i="7"/>
  <c r="B32" i="7"/>
  <c r="D32" i="7"/>
  <c r="C15" i="9" l="1"/>
  <c r="D14" i="9"/>
  <c r="E14" i="9"/>
  <c r="D42" i="8"/>
  <c r="F42" i="8" s="1"/>
  <c r="D41" i="8"/>
  <c r="F41" i="8" s="1"/>
  <c r="D42" i="7"/>
  <c r="F42" i="7" s="1"/>
  <c r="D41" i="7"/>
  <c r="F41" i="7" s="1"/>
  <c r="C16" i="9" l="1"/>
  <c r="D15" i="9"/>
  <c r="E15" i="9"/>
  <c r="C17" i="9" l="1"/>
  <c r="D16" i="9"/>
  <c r="E16" i="9"/>
  <c r="C18" i="9" l="1"/>
  <c r="D17" i="9"/>
  <c r="E17" i="9"/>
  <c r="C19" i="9" l="1"/>
  <c r="D18" i="9"/>
  <c r="E18" i="9"/>
  <c r="C20" i="9" l="1"/>
  <c r="D19" i="9"/>
  <c r="E19" i="9"/>
  <c r="C21" i="9" l="1"/>
  <c r="D20" i="9"/>
  <c r="E20" i="9"/>
  <c r="C22" i="9" l="1"/>
  <c r="D21" i="9"/>
  <c r="E21" i="9"/>
  <c r="D22" i="9" l="1"/>
  <c r="C23" i="9"/>
  <c r="E22" i="9"/>
  <c r="D23" i="9" l="1"/>
  <c r="C24" i="9"/>
  <c r="E23" i="9"/>
  <c r="D24" i="9" l="1"/>
  <c r="C25" i="9"/>
  <c r="E24" i="9"/>
  <c r="D25" i="9" l="1"/>
  <c r="C26" i="9"/>
  <c r="E25" i="9"/>
  <c r="D26" i="9" l="1"/>
  <c r="C27" i="9"/>
  <c r="E26" i="9"/>
  <c r="D27" i="9" l="1"/>
  <c r="C28" i="9"/>
  <c r="E27" i="9"/>
  <c r="D28" i="9" l="1"/>
  <c r="C29" i="9"/>
  <c r="E28" i="9"/>
  <c r="D29" i="9" l="1"/>
  <c r="C30" i="9"/>
  <c r="E29" i="9"/>
  <c r="D30" i="9" l="1"/>
  <c r="C31" i="9"/>
  <c r="E30" i="9"/>
  <c r="D31" i="9" l="1"/>
  <c r="C32" i="9"/>
  <c r="E31" i="9"/>
  <c r="D32" i="9" l="1"/>
  <c r="C33" i="9"/>
  <c r="E32" i="9"/>
  <c r="D33" i="9" l="1"/>
  <c r="C34" i="9"/>
  <c r="E33" i="9"/>
  <c r="C35" i="9" l="1"/>
  <c r="D34" i="9"/>
  <c r="E34" i="9"/>
  <c r="C36" i="9" l="1"/>
  <c r="D35" i="9"/>
  <c r="E35" i="9"/>
  <c r="C37" i="9" l="1"/>
  <c r="D36" i="9"/>
  <c r="E36" i="9"/>
  <c r="C38" i="9" l="1"/>
  <c r="D37" i="9"/>
  <c r="E37" i="9"/>
  <c r="C39" i="9" l="1"/>
  <c r="D38" i="9"/>
  <c r="E38" i="9"/>
  <c r="D39" i="9" l="1"/>
  <c r="G10" i="9"/>
  <c r="E39" i="9"/>
  <c r="G11" i="9" l="1"/>
  <c r="H10" i="9"/>
  <c r="I10" i="9"/>
  <c r="G12" i="9" l="1"/>
  <c r="H11" i="9"/>
  <c r="I11" i="9"/>
  <c r="G13" i="9" l="1"/>
  <c r="H12" i="9"/>
  <c r="I12" i="9"/>
  <c r="G14" i="9" l="1"/>
  <c r="H13" i="9"/>
  <c r="I13" i="9"/>
  <c r="G15" i="9" l="1"/>
  <c r="H14" i="9"/>
  <c r="I14" i="9"/>
  <c r="G16" i="9" l="1"/>
  <c r="H15" i="9"/>
  <c r="I15" i="9"/>
  <c r="G17" i="9" l="1"/>
  <c r="H16" i="9"/>
  <c r="I16" i="9"/>
  <c r="G18" i="9" l="1"/>
  <c r="H17" i="9"/>
  <c r="I17" i="9"/>
  <c r="G19" i="9" l="1"/>
  <c r="H18" i="9"/>
  <c r="I18" i="9"/>
  <c r="G20" i="9" l="1"/>
  <c r="H19" i="9"/>
  <c r="I19" i="9"/>
  <c r="G21" i="9" l="1"/>
  <c r="H20" i="9"/>
  <c r="I20" i="9"/>
  <c r="H21" i="9" l="1"/>
  <c r="G22" i="9"/>
  <c r="I21" i="9"/>
  <c r="H22" i="9" l="1"/>
  <c r="G23" i="9"/>
  <c r="I22" i="9"/>
  <c r="H23" i="9" l="1"/>
  <c r="G24" i="9"/>
  <c r="I23" i="9"/>
  <c r="H24" i="9" l="1"/>
  <c r="G25" i="9"/>
  <c r="I24" i="9"/>
  <c r="H25" i="9" l="1"/>
  <c r="G26" i="9"/>
  <c r="I25" i="9"/>
  <c r="H26" i="9" l="1"/>
  <c r="G27" i="9"/>
  <c r="I26" i="9"/>
  <c r="H27" i="9" l="1"/>
  <c r="G28" i="9"/>
  <c r="I27" i="9"/>
  <c r="H28" i="9" l="1"/>
  <c r="G29" i="9"/>
  <c r="I28" i="9"/>
  <c r="H29" i="9" l="1"/>
  <c r="G30" i="9"/>
  <c r="I29" i="9"/>
  <c r="H30" i="9" l="1"/>
  <c r="G31" i="9"/>
  <c r="I30" i="9"/>
  <c r="H31" i="9" l="1"/>
  <c r="G32" i="9"/>
  <c r="I31" i="9"/>
  <c r="H32" i="9" l="1"/>
  <c r="G33" i="9"/>
  <c r="I32" i="9"/>
  <c r="G34" i="9" l="1"/>
  <c r="H33" i="9"/>
  <c r="I33" i="9"/>
  <c r="G35" i="9" l="1"/>
  <c r="H34" i="9"/>
  <c r="I34" i="9"/>
  <c r="G36" i="9" l="1"/>
  <c r="H35" i="9"/>
  <c r="I35" i="9"/>
  <c r="G37" i="9" l="1"/>
  <c r="H36" i="9"/>
  <c r="I36" i="9"/>
  <c r="G38" i="9" l="1"/>
  <c r="H37" i="9"/>
  <c r="I37" i="9"/>
  <c r="G39" i="9" l="1"/>
  <c r="H38" i="9"/>
  <c r="I38" i="9"/>
  <c r="H39" i="9" l="1"/>
  <c r="K10" i="9"/>
  <c r="I39" i="9"/>
  <c r="K11" i="9" l="1"/>
  <c r="L10" i="9"/>
  <c r="M10" i="9"/>
  <c r="K12" i="9" l="1"/>
  <c r="L11" i="9"/>
  <c r="M11" i="9"/>
  <c r="K13" i="9" l="1"/>
  <c r="L12" i="9"/>
  <c r="M12" i="9"/>
  <c r="K14" i="9" l="1"/>
  <c r="L13" i="9"/>
  <c r="M13" i="9"/>
  <c r="K15" i="9" l="1"/>
  <c r="L14" i="9"/>
  <c r="M14" i="9"/>
  <c r="K16" i="9" l="1"/>
  <c r="L15" i="9"/>
  <c r="M15" i="9"/>
  <c r="K17" i="9" l="1"/>
  <c r="L16" i="9"/>
  <c r="M16" i="9"/>
  <c r="K18" i="9" l="1"/>
  <c r="L17" i="9"/>
  <c r="M17" i="9"/>
  <c r="K19" i="9" l="1"/>
  <c r="L18" i="9"/>
  <c r="M18" i="9"/>
  <c r="K20" i="9" l="1"/>
  <c r="L19" i="9"/>
  <c r="M19" i="9"/>
  <c r="K21" i="9" l="1"/>
  <c r="L20" i="9"/>
  <c r="M20" i="9"/>
  <c r="L21" i="9" l="1"/>
  <c r="K22" i="9"/>
  <c r="M21" i="9"/>
  <c r="L22" i="9" l="1"/>
  <c r="K23" i="9"/>
  <c r="M22" i="9"/>
  <c r="L23" i="9" l="1"/>
  <c r="K24" i="9"/>
  <c r="M23" i="9"/>
  <c r="L24" i="9" l="1"/>
  <c r="K25" i="9"/>
  <c r="M24" i="9"/>
  <c r="L25" i="9" l="1"/>
  <c r="K26" i="9"/>
  <c r="M25" i="9"/>
  <c r="L26" i="9" l="1"/>
  <c r="K27" i="9"/>
  <c r="M26" i="9"/>
  <c r="L27" i="9" l="1"/>
  <c r="K28" i="9"/>
  <c r="M27" i="9"/>
  <c r="L28" i="9" l="1"/>
  <c r="K29" i="9"/>
  <c r="M28" i="9"/>
  <c r="L29" i="9" l="1"/>
  <c r="K30" i="9"/>
  <c r="M29" i="9"/>
  <c r="L30" i="9" l="1"/>
  <c r="K31" i="9"/>
  <c r="M30" i="9"/>
  <c r="L31" i="9" l="1"/>
  <c r="K32" i="9"/>
  <c r="M31" i="9"/>
  <c r="L32" i="9" l="1"/>
  <c r="K33" i="9"/>
  <c r="M32" i="9"/>
  <c r="K34" i="9" l="1"/>
  <c r="L33" i="9"/>
  <c r="M33" i="9"/>
  <c r="K35" i="9" l="1"/>
  <c r="L34" i="9"/>
  <c r="M34" i="9"/>
  <c r="K36" i="9" l="1"/>
  <c r="L35" i="9"/>
  <c r="M35" i="9"/>
  <c r="K37" i="9" l="1"/>
  <c r="L36" i="9"/>
  <c r="M36" i="9"/>
  <c r="K38" i="9" l="1"/>
  <c r="L37" i="9"/>
  <c r="M37" i="9"/>
  <c r="K39" i="9" l="1"/>
  <c r="L38" i="9"/>
  <c r="M38" i="9"/>
  <c r="L39" i="9" l="1"/>
  <c r="O10" i="9"/>
  <c r="M39" i="9"/>
  <c r="O11" i="9" l="1"/>
  <c r="P10" i="9"/>
  <c r="Q10" i="9"/>
  <c r="O12" i="9" l="1"/>
  <c r="P11" i="9"/>
  <c r="Q11" i="9"/>
  <c r="O13" i="9" l="1"/>
  <c r="P12" i="9"/>
  <c r="Q12" i="9"/>
  <c r="O14" i="9" l="1"/>
  <c r="P13" i="9"/>
  <c r="Q13" i="9"/>
  <c r="O15" i="9" l="1"/>
  <c r="P14" i="9"/>
  <c r="Q14" i="9"/>
  <c r="O16" i="9" l="1"/>
  <c r="P15" i="9"/>
  <c r="Q15" i="9"/>
  <c r="O17" i="9" l="1"/>
  <c r="P16" i="9"/>
  <c r="Q16" i="9"/>
  <c r="O18" i="9" l="1"/>
  <c r="P17" i="9"/>
  <c r="Q17" i="9"/>
  <c r="O19" i="9" l="1"/>
  <c r="P18" i="9"/>
  <c r="Q18" i="9"/>
  <c r="O20" i="9" l="1"/>
  <c r="P19" i="9"/>
  <c r="Q19" i="9"/>
  <c r="O21" i="9" l="1"/>
  <c r="P20" i="9"/>
  <c r="Q20" i="9"/>
  <c r="P21" i="9" l="1"/>
  <c r="O22" i="9"/>
  <c r="Q21" i="9"/>
  <c r="P22" i="9" l="1"/>
  <c r="O23" i="9"/>
  <c r="Q22" i="9"/>
  <c r="P23" i="9" l="1"/>
  <c r="O24" i="9"/>
  <c r="Q23" i="9"/>
  <c r="P24" i="9" l="1"/>
  <c r="O25" i="9"/>
  <c r="Q24" i="9"/>
  <c r="P25" i="9" l="1"/>
  <c r="O26" i="9"/>
  <c r="Q25" i="9"/>
  <c r="P26" i="9" l="1"/>
  <c r="O27" i="9"/>
  <c r="Q26" i="9"/>
  <c r="P27" i="9" l="1"/>
  <c r="O28" i="9"/>
  <c r="Q27" i="9"/>
  <c r="P28" i="9" l="1"/>
  <c r="O29" i="9"/>
  <c r="Q28" i="9"/>
  <c r="P29" i="9" l="1"/>
  <c r="O30" i="9"/>
  <c r="Q29" i="9"/>
  <c r="P30" i="9" l="1"/>
  <c r="O31" i="9"/>
  <c r="Q30" i="9"/>
  <c r="P31" i="9" l="1"/>
  <c r="O32" i="9"/>
  <c r="Q31" i="9"/>
  <c r="P32" i="9" l="1"/>
  <c r="O33" i="9"/>
  <c r="Q32" i="9"/>
  <c r="O34" i="9" l="1"/>
  <c r="P33" i="9"/>
  <c r="Q33" i="9"/>
  <c r="O35" i="9" l="1"/>
  <c r="P34" i="9"/>
  <c r="Q34" i="9"/>
  <c r="O36" i="9" l="1"/>
  <c r="P35" i="9"/>
  <c r="Q35" i="9"/>
  <c r="O37" i="9" l="1"/>
  <c r="P36" i="9"/>
  <c r="Q36" i="9"/>
  <c r="O38" i="9" l="1"/>
  <c r="P37" i="9"/>
  <c r="Q37" i="9"/>
  <c r="O39" i="9" l="1"/>
  <c r="P38" i="9"/>
  <c r="Q38" i="9"/>
  <c r="D28" i="6"/>
  <c r="D27" i="6"/>
  <c r="D25" i="6"/>
  <c r="D24" i="6"/>
  <c r="D17" i="6"/>
  <c r="D15" i="6"/>
  <c r="P39" i="9" l="1"/>
  <c r="Q39" i="9"/>
</calcChain>
</file>

<file path=xl/comments1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2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3.xml><?xml version="1.0" encoding="utf-8"?>
<comments xmlns="http://schemas.openxmlformats.org/spreadsheetml/2006/main">
  <authors>
    <author>Halsall, Tracy</author>
  </authors>
  <commentList>
    <comment ref="C10" authorId="0">
      <text>
        <r>
          <rPr>
            <b/>
            <sz val="9"/>
            <color indexed="81"/>
            <rFont val="Tahoma"/>
            <family val="2"/>
          </rPr>
          <t>Halsall, Tracy:</t>
        </r>
        <r>
          <rPr>
            <sz val="9"/>
            <color indexed="81"/>
            <rFont val="Tahoma"/>
            <family val="2"/>
          </rPr>
          <t xml:space="preserve">
insert date and time in correct format
eg. 01 Dec 2015 12:00
(table will automatically populate)</t>
        </r>
      </text>
    </comment>
  </commentList>
</comments>
</file>

<file path=xl/sharedStrings.xml><?xml version="1.0" encoding="utf-8"?>
<sst xmlns="http://schemas.openxmlformats.org/spreadsheetml/2006/main" count="338" uniqueCount="177">
  <si>
    <t>HDR Brachytherapy</t>
  </si>
  <si>
    <t>Date:</t>
  </si>
  <si>
    <t>Daily QA tests</t>
  </si>
  <si>
    <t>Catheter obstruction test</t>
  </si>
  <si>
    <t>Source data verification</t>
  </si>
  <si>
    <t>SIGNATURE</t>
  </si>
  <si>
    <t>Quarterly QA Worksheet</t>
  </si>
  <si>
    <t>Pretreatment Safety &amp; QA Tests</t>
  </si>
  <si>
    <t>Startup</t>
  </si>
  <si>
    <t>Emergency equipment</t>
  </si>
  <si>
    <t>Survey meter</t>
  </si>
  <si>
    <t>Date, time &amp; source strength in treatment unit</t>
  </si>
  <si>
    <t>Expected Activity (U)</t>
  </si>
  <si>
    <t>Current Activity (U)</t>
  </si>
  <si>
    <t>Calculated dwell time of 60s</t>
  </si>
  <si>
    <t>Calculated dwell time of 15s</t>
  </si>
  <si>
    <t>Dwell times accurate</t>
  </si>
  <si>
    <t>Emergency off</t>
  </si>
  <si>
    <t>on TDU</t>
  </si>
  <si>
    <t>on wall inside treatment room</t>
  </si>
  <si>
    <t>on TCP (no radiation)</t>
  </si>
  <si>
    <t>on TCP (with radiation)</t>
  </si>
  <si>
    <t>Warning lights</t>
  </si>
  <si>
    <t>Room radiation monitors</t>
  </si>
  <si>
    <t>Treatment interrupt</t>
  </si>
  <si>
    <t>Door interlock / last person out</t>
  </si>
  <si>
    <t>Key switch</t>
  </si>
  <si>
    <t>Source positional accuracy</t>
  </si>
  <si>
    <t>Channel 1 - 200mm</t>
  </si>
  <si>
    <t>Channel 3 - 180mm</t>
  </si>
  <si>
    <t>Channel 3 - 220mm</t>
  </si>
  <si>
    <t>Channel 5 - 200mm</t>
  </si>
  <si>
    <t>Dwell time accuracy</t>
  </si>
  <si>
    <t>Expected dwell time (s)</t>
  </si>
  <si>
    <t>Measured dwell time (s)</t>
  </si>
  <si>
    <t>Transit tube misconnect interlock</t>
  </si>
  <si>
    <t>Exit dose calibration</t>
  </si>
  <si>
    <t>Source calibration</t>
  </si>
  <si>
    <t>Source position accuracy - part 1</t>
  </si>
  <si>
    <t>Records</t>
  </si>
  <si>
    <t>Power Failure Recovery</t>
  </si>
  <si>
    <t>Channel</t>
  </si>
  <si>
    <t>Dwell position</t>
  </si>
  <si>
    <t>DAILY SAFETY &amp; QA TESTS</t>
  </si>
  <si>
    <t xml:space="preserve">CCSEO Batch No.:  </t>
  </si>
  <si>
    <t>TDU:</t>
  </si>
  <si>
    <t>Flexitron B (FT 00107)</t>
  </si>
  <si>
    <t>Date and Time:</t>
  </si>
  <si>
    <t xml:space="preserve">HDR - 1000 Well-Type Ionization Chamber            Serial Number:  </t>
  </si>
  <si>
    <t>A021025 (245cc)</t>
  </si>
  <si>
    <t xml:space="preserve"> </t>
  </si>
  <si>
    <r>
      <t>Calibration Factor (C</t>
    </r>
    <r>
      <rPr>
        <b/>
        <vertAlign val="subscript"/>
        <sz val="9"/>
        <rFont val="Times New Roman"/>
        <family val="1"/>
      </rPr>
      <t>WC</t>
    </r>
    <r>
      <rPr>
        <b/>
        <sz val="9"/>
        <rFont val="Times New Roman"/>
        <family val="1"/>
      </rPr>
      <t>):</t>
    </r>
  </si>
  <si>
    <r>
      <t xml:space="preserve"> 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  =</t>
    </r>
  </si>
  <si>
    <r>
      <t xml:space="preserve"> </t>
    </r>
    <r>
      <rPr>
        <b/>
        <sz val="9"/>
        <rFont val="Symbol"/>
        <family val="1"/>
        <charset val="2"/>
      </rPr>
      <t>m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/nA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</t>
    </r>
  </si>
  <si>
    <t xml:space="preserve">Electrometer Model:  Max 4000                         Serial Number: E021531  </t>
  </si>
  <si>
    <r>
      <t>Calibration Factor (C</t>
    </r>
    <r>
      <rPr>
        <b/>
        <vertAlign val="subscript"/>
        <sz val="9"/>
        <rFont val="Times New Roman"/>
        <family val="1"/>
      </rPr>
      <t>E</t>
    </r>
    <r>
      <rPr>
        <b/>
        <sz val="9"/>
        <rFont val="Times New Roman"/>
        <family val="1"/>
      </rPr>
      <t xml:space="preserve">): </t>
    </r>
  </si>
  <si>
    <t>nA/Rdg</t>
  </si>
  <si>
    <t>Bias Voltage: 302 V</t>
  </si>
  <si>
    <t>Temperature - Pressure Correction Factor:</t>
  </si>
  <si>
    <t>Temperature (°C):</t>
  </si>
  <si>
    <r>
      <t>C</t>
    </r>
    <r>
      <rPr>
        <b/>
        <vertAlign val="subscript"/>
        <sz val="8"/>
        <rFont val="Times New Roman"/>
        <family val="1"/>
      </rPr>
      <t xml:space="preserve">TP </t>
    </r>
    <r>
      <rPr>
        <b/>
        <sz val="8"/>
        <rFont val="Times New Roman"/>
        <family val="1"/>
      </rPr>
      <t>:</t>
    </r>
  </si>
  <si>
    <t>Final Measurements (at the location of sweetspot)</t>
  </si>
  <si>
    <t>full voltage</t>
  </si>
  <si>
    <t>1/2 voltage</t>
  </si>
  <si>
    <t>Leakage (nA)</t>
  </si>
  <si>
    <t>Rdgs (nA)</t>
  </si>
  <si>
    <t>Source Position (mm)</t>
  </si>
  <si>
    <t>Before Calibration</t>
  </si>
  <si>
    <t>After Calibration</t>
  </si>
  <si>
    <t>Average leakage (nA)</t>
  </si>
  <si>
    <t>Average</t>
  </si>
  <si>
    <r>
      <t>Pion Measurements:</t>
    </r>
    <r>
      <rPr>
        <b/>
        <sz val="10"/>
        <rFont val="Times New Roman"/>
        <family val="1"/>
      </rPr>
      <t xml:space="preserve">  (Charge 30 sec each)</t>
    </r>
  </si>
  <si>
    <t>Reading (full voltage) Q1: -300</t>
  </si>
  <si>
    <t>nC</t>
  </si>
  <si>
    <t>Reading (half voltage) Q2: -150</t>
  </si>
  <si>
    <r>
      <t>Pion = [(4/3) - (Q1/3Q2)]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 xml:space="preserve"> =</t>
    </r>
  </si>
  <si>
    <r>
      <t>Source Strength Calculations:  Sk (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 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>) = R x C</t>
    </r>
    <r>
      <rPr>
        <b/>
        <vertAlign val="subscript"/>
        <sz val="12"/>
        <rFont val="Times New Roman"/>
        <family val="1"/>
      </rPr>
      <t>TP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E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wc</t>
    </r>
    <r>
      <rPr>
        <b/>
        <sz val="12"/>
        <rFont val="Times New Roman"/>
        <family val="1"/>
      </rPr>
      <t xml:space="preserve"> x Pion</t>
    </r>
  </si>
  <si>
    <t>R   =</t>
  </si>
  <si>
    <t>Avg. Reading at full voltage at position of max. response</t>
  </si>
  <si>
    <r>
      <t>C</t>
    </r>
    <r>
      <rPr>
        <b/>
        <vertAlign val="subscript"/>
        <sz val="9"/>
        <rFont val="Times New Roman"/>
        <family val="1"/>
      </rPr>
      <t xml:space="preserve">TP </t>
    </r>
    <r>
      <rPr>
        <b/>
        <sz val="9"/>
        <rFont val="Times New Roman"/>
        <family val="1"/>
      </rPr>
      <t>=</t>
    </r>
  </si>
  <si>
    <t>Temperature and pressure correction factor</t>
  </si>
  <si>
    <r>
      <t>C</t>
    </r>
    <r>
      <rPr>
        <b/>
        <vertAlign val="subscript"/>
        <sz val="9"/>
        <rFont val="Times New Roman"/>
        <family val="1"/>
      </rPr>
      <t xml:space="preserve">E </t>
    </r>
    <r>
      <rPr>
        <b/>
        <sz val="9"/>
        <rFont val="Times New Roman"/>
        <family val="1"/>
      </rPr>
      <t xml:space="preserve"> =</t>
    </r>
  </si>
  <si>
    <t>Electrometer Calibration Factor</t>
  </si>
  <si>
    <t>Cwc =</t>
  </si>
  <si>
    <t>Well-chambered calibration factor</t>
  </si>
  <si>
    <r>
      <t>P</t>
    </r>
    <r>
      <rPr>
        <b/>
        <vertAlign val="subscript"/>
        <sz val="9"/>
        <rFont val="Times New Roman"/>
        <family val="1"/>
      </rPr>
      <t xml:space="preserve">ion </t>
    </r>
    <r>
      <rPr>
        <b/>
        <sz val="9"/>
        <rFont val="Times New Roman"/>
        <family val="1"/>
      </rPr>
      <t xml:space="preserve"> =</t>
    </r>
  </si>
  <si>
    <t>Recombination Corr. Factor</t>
  </si>
  <si>
    <r>
      <t>Calculated S</t>
    </r>
    <r>
      <rPr>
        <b/>
        <vertAlign val="subscript"/>
        <sz val="10"/>
        <rFont val="Times New Roman"/>
        <family val="1"/>
      </rPr>
      <t>K</t>
    </r>
    <r>
      <rPr>
        <b/>
        <sz val="10"/>
        <rFont val="Times New Roman"/>
        <family val="1"/>
      </rPr>
      <t xml:space="preserve">  =</t>
    </r>
  </si>
  <si>
    <r>
      <t>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</si>
  <si>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 xml:space="preserve"> =</t>
  </si>
  <si>
    <t>GBq   =</t>
  </si>
  <si>
    <t>Curies</t>
  </si>
  <si>
    <t>at Calibration</t>
  </si>
  <si>
    <t xml:space="preserve">Manufaturer's Calibration: </t>
  </si>
  <si>
    <t>Activity stated by manufacturer</t>
  </si>
  <si>
    <t>Manufacturer's source strength on</t>
  </si>
  <si>
    <t>Date and Time(Local):</t>
  </si>
  <si>
    <t>Decay Factor</t>
  </si>
  <si>
    <r>
      <t>U 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</si>
  <si>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>Activity on Console</t>
  </si>
  <si>
    <r>
      <t>U (</t>
    </r>
    <r>
      <rPr>
        <sz val="10"/>
        <rFont val="Symbol"/>
        <family val="1"/>
        <charset val="2"/>
      </rPr>
      <t>m</t>
    </r>
    <r>
      <rPr>
        <sz val="10"/>
        <rFont val="Times New Roman"/>
        <family val="1"/>
      </rPr>
      <t>Gy m</t>
    </r>
    <r>
      <rPr>
        <vertAlign val="superscript"/>
        <sz val="10"/>
        <rFont val="Times New Roman"/>
        <family val="1"/>
      </rPr>
      <t>2</t>
    </r>
    <r>
      <rPr>
        <sz val="10"/>
        <rFont val="Times New Roman"/>
        <family val="1"/>
      </rPr>
      <t>h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)</t>
    </r>
  </si>
  <si>
    <t>Activity at present, Manufacturer's calibration</t>
  </si>
  <si>
    <t>Activity Calculated at present, CCSEO calibration</t>
  </si>
  <si>
    <r>
      <t>% Variation WRT console (%VAR</t>
    </r>
    <r>
      <rPr>
        <b/>
        <vertAlign val="subscript"/>
        <sz val="9"/>
        <rFont val="Times New Roman"/>
        <family val="1"/>
      </rPr>
      <t>1</t>
    </r>
    <r>
      <rPr>
        <b/>
        <sz val="9"/>
        <rFont val="Times New Roman"/>
        <family val="1"/>
      </rPr>
      <t>)*</t>
    </r>
  </si>
  <si>
    <t>%</t>
  </si>
  <si>
    <r>
      <t>% Variation WRT Manufacturer's calibration (%VAR</t>
    </r>
    <r>
      <rPr>
        <b/>
        <vertAlign val="subscript"/>
        <sz val="9"/>
        <rFont val="Times New Roman"/>
        <family val="1"/>
      </rPr>
      <t>2</t>
    </r>
    <r>
      <rPr>
        <b/>
        <sz val="9"/>
        <rFont val="Times New Roman"/>
        <family val="1"/>
      </rPr>
      <t>)*</t>
    </r>
  </si>
  <si>
    <t xml:space="preserve">Signature: </t>
  </si>
  <si>
    <t xml:space="preserve">Date:  </t>
  </si>
  <si>
    <t>Flexisource No.:</t>
  </si>
  <si>
    <t>Determination of Sweet spot</t>
  </si>
  <si>
    <r>
      <t xml:space="preserve">NEW Src 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</si>
  <si>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t>Department of Medical Physics, Cancer Centre of South Eastern Ontario @ KGH</t>
  </si>
  <si>
    <t>Iridium-192 HDR Brachytherapy Source (Flexisource) Decay Chart</t>
  </si>
  <si>
    <t>Day</t>
  </si>
  <si>
    <t>Date</t>
  </si>
  <si>
    <t>*Source Strength</t>
  </si>
  <si>
    <t>Number</t>
  </si>
  <si>
    <t>(At 12:00)</t>
  </si>
  <si>
    <t>(U)</t>
  </si>
  <si>
    <r>
      <t xml:space="preserve">* NOTE: Source Air Kerma Strength (U) must be within </t>
    </r>
    <r>
      <rPr>
        <b/>
        <sz val="12"/>
        <rFont val="Symbol"/>
        <family val="1"/>
        <charset val="2"/>
      </rPr>
      <t>±</t>
    </r>
    <r>
      <rPr>
        <b/>
        <sz val="12"/>
        <rFont val="Times New Roman"/>
        <family val="1"/>
      </rPr>
      <t>100 U of the source strength value on the treatment delivery unit (TDU)</t>
    </r>
  </si>
  <si>
    <r>
      <t>1 U  = 1cGy.cm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 xml:space="preserve"> = 1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Gy.m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</si>
  <si>
    <t xml:space="preserve"> 1 Curie = 4070 U</t>
  </si>
  <si>
    <t xml:space="preserve"> 1 GBq = 110 U</t>
  </si>
  <si>
    <t>Date and Time (CET):</t>
  </si>
  <si>
    <t>CCSEO Batch Number:</t>
  </si>
  <si>
    <t>Date of source installation @ CCSEO:</t>
  </si>
  <si>
    <t>Date &amp; Time (CET) of Calibration</t>
  </si>
  <si>
    <t>GBq</t>
  </si>
  <si>
    <t>Manufacturer's Calibration:</t>
  </si>
  <si>
    <t>Flexisource No:</t>
  </si>
  <si>
    <t>Radiation survey forms complete</t>
  </si>
  <si>
    <t>Daily pre-treatment QA records complete</t>
  </si>
  <si>
    <t>Decay chart complete &amp; posted</t>
  </si>
  <si>
    <t>Source position accuracy - part 2 autoradiograph</t>
  </si>
  <si>
    <t>Battery check in Flashlight</t>
  </si>
  <si>
    <t>TCP at time of interruption</t>
  </si>
  <si>
    <t>AK Strength</t>
  </si>
  <si>
    <t>Last Channel</t>
  </si>
  <si>
    <t>Last Dwell</t>
  </si>
  <si>
    <t>Treatment Details (Actualized)</t>
  </si>
  <si>
    <t>TRAK</t>
  </si>
  <si>
    <t>Radiation Time (sec)</t>
  </si>
  <si>
    <t>Remaining Time (sec)</t>
  </si>
  <si>
    <t>Power failure recovery</t>
  </si>
  <si>
    <t>"Terminate" QA Plan</t>
  </si>
  <si>
    <t>Plan Name</t>
  </si>
  <si>
    <t>Dwell time (sec)</t>
  </si>
  <si>
    <t>TCP at time of reset</t>
  </si>
  <si>
    <t>Treatment Details (Delivered) for "Terminated" Plan</t>
  </si>
  <si>
    <t>Radiation time (sec)</t>
  </si>
  <si>
    <t>"Recovery" QA Plan</t>
  </si>
  <si>
    <t>Calculated dwell time for 40700U</t>
  </si>
  <si>
    <t>Treatment Details (Delivered) for "Recovery" Plan</t>
  </si>
  <si>
    <t>Performed by:</t>
  </si>
  <si>
    <t>Mechanical integrity of applicators &amp; transfer tubes</t>
  </si>
  <si>
    <t>Mechanical Integrity of Applicators &amp; Transfer Tubes</t>
  </si>
  <si>
    <t>Date Completed</t>
  </si>
  <si>
    <t>Completed By</t>
  </si>
  <si>
    <t>Flexible implant transfer tubes</t>
  </si>
  <si>
    <t>(Physics)</t>
  </si>
  <si>
    <t>Lung Catheter</t>
  </si>
  <si>
    <t>Cervix-CT/MR Ring Applicator</t>
  </si>
  <si>
    <t>Set 1</t>
  </si>
  <si>
    <t>(RT)</t>
  </si>
  <si>
    <t>Set 2</t>
  </si>
  <si>
    <t>Vaginal Vault Stainless Steel Applicator</t>
  </si>
  <si>
    <t>Bonvoisin-Gerard Esophageal Applicator</t>
  </si>
  <si>
    <t>6mm</t>
  </si>
  <si>
    <t>8mm</t>
  </si>
  <si>
    <t>10mm</t>
  </si>
  <si>
    <r>
      <t>Date of Calibration:</t>
    </r>
    <r>
      <rPr>
        <sz val="9"/>
        <rFont val="Times New Roman"/>
        <family val="1"/>
      </rPr>
      <t xml:space="preserve"> May 15 2018</t>
    </r>
  </si>
  <si>
    <t>NLF 01 D85E2858</t>
  </si>
  <si>
    <t>Audio/Visual communication</t>
  </si>
  <si>
    <t>Plan Terminate11Sept2018 failed to load post-treatment report</t>
  </si>
  <si>
    <t>cjoshi</t>
  </si>
  <si>
    <t>NLF 01 D85E3112</t>
  </si>
  <si>
    <t>cjoshi/jd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</si>
</sst>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6">
    <numFmt numFmtId="164" formatCode="[$-409]d\-mmm\-yyyy;@"/>
    <numFmt numFmtId="165" formatCode="0.0"/>
    <numFmt numFmtId="166" formatCode="m/d/yy\ h:mm;@"/>
    <numFmt numFmtId="167" formatCode="h:mm;@"/>
    <numFmt numFmtId="168" formatCode="0.000E+00"/>
    <numFmt numFmtId="169" formatCode="0.0000"/>
    <numFmt numFmtId="170" formatCode="#,##0.000"/>
    <numFmt numFmtId="171" formatCode="0.000"/>
    <numFmt numFmtId="172" formatCode="[$-409]mmmm\ d\,\ yyyy;@"/>
    <numFmt numFmtId="173" formatCode="[$-409]d\-mmm\-yy;@"/>
    <numFmt numFmtId="174" formatCode="mm/dd/yy"/>
    <numFmt numFmtId="175" formatCode="0.00000"/>
    <numFmt numFmtId="176" formatCode="ddd"/>
    <numFmt numFmtId="177" formatCode="[$-F800]dddd\,\ mmmm\ dd\,\ yyyy"/>
    <numFmt numFmtId="178" formatCode="dd\-mmm\-yyyy"/>
    <numFmt numFmtId="179" formatCode="dd\-mmm\-yyyy\ hh:mm"/>
  </numFmts>
  <fonts count="55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b/>
      <u/>
      <sz val="11"/>
      <name val="Times New Roman"/>
      <family val="1"/>
    </font>
    <font>
      <sz val="11"/>
      <name val="Arial"/>
      <family val="2"/>
    </font>
    <font>
      <sz val="10"/>
      <name val="Times New Roman"/>
      <family val="1"/>
    </font>
    <font>
      <b/>
      <u/>
      <vertAlign val="superscript"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vertAlign val="subscript"/>
      <sz val="9"/>
      <name val="Times New Roman"/>
      <family val="1"/>
    </font>
    <font>
      <b/>
      <vertAlign val="superscript"/>
      <sz val="9"/>
      <name val="Times New Roman"/>
      <family val="1"/>
    </font>
    <font>
      <b/>
      <sz val="9"/>
      <name val="Symbol"/>
      <family val="1"/>
      <charset val="2"/>
    </font>
    <font>
      <sz val="8"/>
      <name val="Times New Roman"/>
      <family val="1"/>
    </font>
    <font>
      <b/>
      <sz val="8"/>
      <name val="Times New Roman"/>
      <family val="1"/>
    </font>
    <font>
      <b/>
      <vertAlign val="subscript"/>
      <sz val="8"/>
      <name val="Times New Roman"/>
      <family val="1"/>
    </font>
    <font>
      <b/>
      <sz val="8"/>
      <name val="Arial"/>
      <family val="2"/>
    </font>
    <font>
      <b/>
      <u/>
      <sz val="9"/>
      <name val="Times New Roman"/>
      <family val="1"/>
    </font>
    <font>
      <b/>
      <u/>
      <sz val="8"/>
      <name val="Times New Roman"/>
      <family val="1"/>
    </font>
    <font>
      <b/>
      <sz val="14"/>
      <name val="Times New Roman"/>
      <family val="1"/>
    </font>
    <font>
      <sz val="14"/>
      <name val="Arial"/>
      <family val="2"/>
    </font>
    <font>
      <b/>
      <sz val="12"/>
      <name val="Times New Roman"/>
      <family val="1"/>
    </font>
    <font>
      <b/>
      <u/>
      <sz val="10"/>
      <name val="Times New Roman"/>
      <family val="1"/>
    </font>
    <font>
      <b/>
      <vertAlign val="superscript"/>
      <sz val="10"/>
      <name val="Times New Roman"/>
      <family val="1"/>
    </font>
    <font>
      <b/>
      <sz val="12"/>
      <name val="Symbol"/>
      <family val="1"/>
      <charset val="2"/>
    </font>
    <font>
      <b/>
      <vertAlign val="superscript"/>
      <sz val="12"/>
      <name val="Times New Roman"/>
      <family val="1"/>
    </font>
    <font>
      <b/>
      <vertAlign val="subscript"/>
      <sz val="12"/>
      <name val="Times New Roman"/>
      <family val="1"/>
    </font>
    <font>
      <b/>
      <vertAlign val="subscript"/>
      <sz val="10"/>
      <name val="Times New Roman"/>
      <family val="1"/>
    </font>
    <font>
      <b/>
      <sz val="10"/>
      <name val="Symbol"/>
      <family val="1"/>
      <charset val="2"/>
    </font>
    <font>
      <sz val="10"/>
      <name val="Symbol"/>
      <family val="1"/>
      <charset val="2"/>
    </font>
    <font>
      <vertAlign val="superscript"/>
      <sz val="10"/>
      <name val="Times New Roman"/>
      <family val="1"/>
    </font>
    <font>
      <b/>
      <sz val="22"/>
      <color indexed="81"/>
      <name val="Tahoma"/>
      <family val="2"/>
    </font>
    <font>
      <sz val="22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60"/>
      <name val="Times New Roman"/>
      <family val="1"/>
    </font>
    <font>
      <i/>
      <sz val="10"/>
      <name val="Times New Roman"/>
      <family val="1"/>
    </font>
    <font>
      <b/>
      <i/>
      <sz val="11"/>
      <name val="Times New Roman"/>
      <family val="1"/>
    </font>
    <font>
      <b/>
      <u/>
      <sz val="16"/>
      <name val="Times New Roman"/>
      <family val="1"/>
    </font>
    <font>
      <b/>
      <sz val="9"/>
      <name val="Garamond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9"/>
      <name val="Wingdings 2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</fills>
  <borders count="59">
    <border>
      <left/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8">
    <xf numFmtId="0" fontId="0" fillId="0" borderId="0"/>
    <xf numFmtId="0" fontId="8" fillId="0" borderId="0"/>
    <xf numFmtId="0" fontId="53" fillId="0" borderId="0"/>
    <xf numFmtId="0" fontId="53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1" fillId="0" borderId="0"/>
  </cellStyleXfs>
  <cellXfs count="299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3" fillId="0" borderId="0" xfId="0" applyFont="1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4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165" fontId="7" fillId="3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165" fontId="7" fillId="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4" fillId="5" borderId="29" xfId="0" applyFont="1" applyFill="1" applyBorder="1" applyAlignment="1">
      <alignment horizontal="center" vertical="center"/>
    </xf>
    <xf numFmtId="164" fontId="5" fillId="5" borderId="30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2" fontId="4" fillId="5" borderId="31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5" xfId="0" applyFont="1" applyBorder="1" applyAlignment="1">
      <alignment vertical="center" wrapText="1"/>
    </xf>
    <xf numFmtId="0" fontId="0" fillId="0" borderId="5" xfId="0" applyFont="1" applyBorder="1" applyAlignment="1">
      <alignment vertical="center"/>
    </xf>
    <xf numFmtId="0" fontId="0" fillId="5" borderId="5" xfId="0" applyFill="1" applyBorder="1" applyAlignment="1">
      <alignment horizontal="center" vertical="center"/>
    </xf>
    <xf numFmtId="0" fontId="50" fillId="0" borderId="0" xfId="0" applyFont="1" applyBorder="1" applyAlignment="1">
      <alignment horizontal="left" vertical="center" wrapText="1"/>
    </xf>
    <xf numFmtId="165" fontId="0" fillId="3" borderId="5" xfId="0" applyNumberFormat="1" applyFill="1" applyBorder="1" applyAlignment="1">
      <alignment horizontal="center" vertical="center"/>
    </xf>
    <xf numFmtId="0" fontId="50" fillId="0" borderId="0" xfId="0" applyFont="1" applyFill="1" applyBorder="1" applyAlignment="1">
      <alignment horizontal="left" vertical="center" wrapText="1"/>
    </xf>
    <xf numFmtId="0" fontId="0" fillId="0" borderId="0" xfId="0" applyFill="1" applyBorder="1" applyAlignment="1">
      <alignment vertical="center"/>
    </xf>
    <xf numFmtId="165" fontId="0" fillId="0" borderId="0" xfId="0" applyNumberForma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75" fontId="0" fillId="0" borderId="0" xfId="0" applyNumberFormat="1"/>
    <xf numFmtId="0" fontId="51" fillId="5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165" fontId="0" fillId="5" borderId="5" xfId="0" applyNumberFormat="1" applyFill="1" applyBorder="1" applyAlignment="1">
      <alignment horizontal="center" vertical="center"/>
    </xf>
    <xf numFmtId="0" fontId="3" fillId="0" borderId="0" xfId="1" applyFont="1" applyAlignment="1"/>
    <xf numFmtId="0" fontId="3" fillId="0" borderId="0" xfId="1" applyFont="1" applyAlignment="1">
      <alignment horizontal="right"/>
    </xf>
    <xf numFmtId="0" fontId="53" fillId="0" borderId="0" xfId="2"/>
    <xf numFmtId="0" fontId="8" fillId="0" borderId="0" xfId="1" applyAlignment="1">
      <alignment wrapText="1"/>
    </xf>
    <xf numFmtId="0" fontId="8" fillId="0" borderId="0" xfId="1" applyAlignment="1">
      <alignment horizontal="right" wrapText="1"/>
    </xf>
    <xf numFmtId="0" fontId="8" fillId="0" borderId="46" xfId="1" applyBorder="1" applyAlignment="1">
      <alignment horizontal="center" vertical="center" wrapText="1"/>
    </xf>
    <xf numFmtId="0" fontId="8" fillId="0" borderId="47" xfId="1" applyBorder="1" applyAlignment="1">
      <alignment horizontal="center" vertical="center" wrapText="1"/>
    </xf>
    <xf numFmtId="0" fontId="53" fillId="0" borderId="0" xfId="2" applyAlignment="1">
      <alignment wrapText="1"/>
    </xf>
    <xf numFmtId="0" fontId="4" fillId="0" borderId="48" xfId="1" applyFont="1" applyBorder="1" applyAlignment="1">
      <alignment horizontal="center" vertical="center"/>
    </xf>
    <xf numFmtId="0" fontId="4" fillId="0" borderId="49" xfId="1" applyFont="1" applyBorder="1" applyAlignment="1">
      <alignment horizontal="left" vertical="center"/>
    </xf>
    <xf numFmtId="0" fontId="7" fillId="0" borderId="16" xfId="1" applyFont="1" applyBorder="1" applyAlignment="1">
      <alignment horizontal="right" vertical="center"/>
    </xf>
    <xf numFmtId="178" fontId="4" fillId="5" borderId="50" xfId="1" applyNumberFormat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" xfId="1" applyFont="1" applyBorder="1" applyAlignment="1">
      <alignment horizontal="left" vertical="center"/>
    </xf>
    <xf numFmtId="0" fontId="7" fillId="0" borderId="4" xfId="1" applyFont="1" applyBorder="1" applyAlignment="1">
      <alignment horizontal="right" vertical="center"/>
    </xf>
    <xf numFmtId="0" fontId="4" fillId="5" borderId="7" xfId="1" applyFont="1" applyFill="1" applyBorder="1" applyAlignment="1">
      <alignment horizontal="center" vertical="center"/>
    </xf>
    <xf numFmtId="0" fontId="4" fillId="0" borderId="5" xfId="1" applyFont="1" applyFill="1" applyBorder="1" applyAlignment="1">
      <alignment horizontal="center" vertical="center"/>
    </xf>
    <xf numFmtId="0" fontId="4" fillId="0" borderId="7" xfId="1" applyFont="1" applyFill="1" applyBorder="1" applyAlignment="1">
      <alignment horizontal="center" vertical="center"/>
    </xf>
    <xf numFmtId="0" fontId="7" fillId="0" borderId="2" xfId="1" applyFont="1" applyBorder="1" applyAlignment="1">
      <alignment horizontal="left" vertical="center"/>
    </xf>
    <xf numFmtId="178" fontId="4" fillId="5" borderId="5" xfId="1" applyNumberFormat="1" applyFont="1" applyFill="1" applyBorder="1" applyAlignment="1">
      <alignment horizontal="center" vertical="center"/>
    </xf>
    <xf numFmtId="0" fontId="4" fillId="0" borderId="51" xfId="1" applyFont="1" applyBorder="1" applyAlignment="1">
      <alignment horizontal="center" vertical="center"/>
    </xf>
    <xf numFmtId="0" fontId="4" fillId="5" borderId="52" xfId="1" applyFont="1" applyFill="1" applyBorder="1" applyAlignment="1">
      <alignment horizontal="center" vertical="center"/>
    </xf>
    <xf numFmtId="0" fontId="4" fillId="0" borderId="21" xfId="1" applyFont="1" applyBorder="1" applyAlignment="1">
      <alignment horizontal="left" vertical="center"/>
    </xf>
    <xf numFmtId="0" fontId="7" fillId="0" borderId="53" xfId="1" applyFont="1" applyBorder="1" applyAlignment="1">
      <alignment horizontal="right" vertical="center"/>
    </xf>
    <xf numFmtId="0" fontId="4" fillId="0" borderId="52" xfId="1" applyFont="1" applyFill="1" applyBorder="1" applyAlignment="1">
      <alignment horizontal="center" vertical="center"/>
    </xf>
    <xf numFmtId="0" fontId="7" fillId="0" borderId="21" xfId="1" applyFont="1" applyBorder="1" applyAlignment="1">
      <alignment horizontal="left" vertical="center"/>
    </xf>
    <xf numFmtId="0" fontId="4" fillId="0" borderId="54" xfId="1" applyFont="1" applyBorder="1" applyAlignment="1">
      <alignment horizontal="center" vertical="center"/>
    </xf>
    <xf numFmtId="0" fontId="7" fillId="0" borderId="23" xfId="1" applyFont="1" applyBorder="1" applyAlignment="1">
      <alignment horizontal="left" vertical="center"/>
    </xf>
    <xf numFmtId="0" fontId="7" fillId="0" borderId="18" xfId="1" applyFont="1" applyBorder="1" applyAlignment="1">
      <alignment horizontal="right" vertical="center"/>
    </xf>
    <xf numFmtId="178" fontId="4" fillId="5" borderId="27" xfId="1" applyNumberFormat="1" applyFont="1" applyFill="1" applyBorder="1" applyAlignment="1">
      <alignment horizontal="center" vertical="center"/>
    </xf>
    <xf numFmtId="0" fontId="4" fillId="5" borderId="17" xfId="1" applyFont="1" applyFill="1" applyBorder="1" applyAlignment="1">
      <alignment horizontal="center" vertical="center"/>
    </xf>
    <xf numFmtId="0" fontId="53" fillId="0" borderId="0" xfId="2" applyAlignment="1">
      <alignment horizontal="right"/>
    </xf>
    <xf numFmtId="178" fontId="4" fillId="5" borderId="25" xfId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/>
    </xf>
    <xf numFmtId="0" fontId="4" fillId="0" borderId="55" xfId="0" applyFont="1" applyBorder="1" applyAlignment="1">
      <alignment horizontal="center" vertical="center"/>
    </xf>
    <xf numFmtId="0" fontId="4" fillId="0" borderId="50" xfId="0" applyFont="1" applyBorder="1" applyAlignment="1">
      <alignment horizontal="left" vertical="center"/>
    </xf>
    <xf numFmtId="0" fontId="4" fillId="0" borderId="42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4" fillId="0" borderId="28" xfId="0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50" fillId="0" borderId="5" xfId="0" applyFont="1" applyBorder="1" applyAlignment="1">
      <alignment horizontal="left" vertical="center" wrapText="1"/>
    </xf>
    <xf numFmtId="0" fontId="54" fillId="5" borderId="7" xfId="0" applyFont="1" applyFill="1" applyBorder="1" applyAlignment="1">
      <alignment horizontal="center" vertical="center"/>
    </xf>
    <xf numFmtId="0" fontId="9" fillId="5" borderId="0" xfId="0" applyFont="1" applyFill="1" applyBorder="1" applyAlignment="1" applyProtection="1">
      <alignment horizontal="center"/>
    </xf>
    <xf numFmtId="167" fontId="13" fillId="5" borderId="8" xfId="0" applyNumberFormat="1" applyFont="1" applyFill="1" applyBorder="1" applyAlignment="1" applyProtection="1">
      <alignment horizontal="center"/>
    </xf>
    <xf numFmtId="0" fontId="9" fillId="0" borderId="0" xfId="0" applyFont="1" applyFill="1" applyBorder="1" applyAlignment="1" applyProtection="1">
      <alignment horizontal="center"/>
    </xf>
    <xf numFmtId="0" fontId="10" fillId="0" borderId="0" xfId="0" applyFont="1" applyAlignment="1">
      <alignment horizontal="center"/>
    </xf>
    <xf numFmtId="0" fontId="20" fillId="0" borderId="48" xfId="0" applyFont="1" applyFill="1" applyBorder="1" applyAlignment="1" applyProtection="1">
      <alignment horizontal="center"/>
    </xf>
    <xf numFmtId="0" fontId="22" fillId="0" borderId="56" xfId="0" applyFont="1" applyBorder="1" applyAlignment="1">
      <alignment horizontal="center"/>
    </xf>
    <xf numFmtId="0" fontId="11" fillId="0" borderId="5" xfId="0" applyFont="1" applyFill="1" applyBorder="1" applyAlignment="1" applyProtection="1">
      <alignment horizontal="center" vertical="center"/>
    </xf>
    <xf numFmtId="172" fontId="13" fillId="0" borderId="2" xfId="0" applyNumberFormat="1" applyFont="1" applyFill="1" applyBorder="1" applyAlignment="1" applyProtection="1">
      <alignment horizontal="center"/>
    </xf>
    <xf numFmtId="0" fontId="0" fillId="0" borderId="4" xfId="0" applyBorder="1"/>
    <xf numFmtId="171" fontId="13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5" borderId="0" xfId="0" applyFont="1" applyFill="1" applyBorder="1" applyAlignment="1" applyProtection="1">
      <alignment horizontal="center"/>
      <protection locked="0"/>
    </xf>
    <xf numFmtId="166" fontId="13" fillId="0" borderId="1" xfId="0" applyNumberFormat="1" applyFont="1" applyFill="1" applyBorder="1" applyAlignment="1" applyProtection="1">
      <alignment horizontal="center"/>
    </xf>
    <xf numFmtId="0" fontId="13" fillId="0" borderId="24" xfId="0" applyFont="1" applyFill="1" applyBorder="1" applyAlignment="1" applyProtection="1">
      <alignment horizontal="center"/>
    </xf>
    <xf numFmtId="0" fontId="6" fillId="0" borderId="4" xfId="0" applyFont="1" applyBorder="1" applyAlignment="1">
      <alignment horizontal="center"/>
    </xf>
    <xf numFmtId="0" fontId="25" fillId="5" borderId="4" xfId="0" applyFont="1" applyFill="1" applyBorder="1" applyAlignment="1" applyProtection="1">
      <alignment horizontal="center" vertical="distributed" readingOrder="1"/>
    </xf>
    <xf numFmtId="0" fontId="26" fillId="5" borderId="4" xfId="0" applyFont="1" applyFill="1" applyBorder="1" applyAlignment="1">
      <alignment horizontal="center" vertical="distributed" readingOrder="1"/>
    </xf>
    <xf numFmtId="179" fontId="14" fillId="5" borderId="8" xfId="0" applyNumberFormat="1" applyFont="1" applyFill="1" applyBorder="1" applyAlignment="1" applyProtection="1">
      <alignment horizontal="center"/>
      <protection locked="0"/>
    </xf>
    <xf numFmtId="0" fontId="27" fillId="0" borderId="0" xfId="0" applyFont="1" applyAlignment="1">
      <alignment horizontal="left" vertical="center"/>
    </xf>
    <xf numFmtId="166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4" fillId="0" borderId="48" xfId="0" applyNumberFormat="1" applyFont="1" applyBorder="1" applyAlignment="1">
      <alignment horizontal="right" vertical="center"/>
    </xf>
    <xf numFmtId="164" fontId="4" fillId="0" borderId="16" xfId="0" applyNumberFormat="1" applyFont="1" applyBorder="1" applyAlignment="1">
      <alignment horizontal="right" vertical="center"/>
    </xf>
    <xf numFmtId="0" fontId="5" fillId="0" borderId="57" xfId="0" applyFont="1" applyBorder="1" applyAlignment="1">
      <alignment horizontal="left" vertical="center"/>
    </xf>
    <xf numFmtId="0" fontId="5" fillId="0" borderId="58" xfId="0" applyFont="1" applyBorder="1" applyAlignment="1">
      <alignment horizontal="left" vertical="center"/>
    </xf>
    <xf numFmtId="0" fontId="50" fillId="0" borderId="5" xfId="0" applyFont="1" applyBorder="1" applyAlignment="1">
      <alignment horizontal="left" vertical="center"/>
    </xf>
    <xf numFmtId="0" fontId="50" fillId="0" borderId="5" xfId="0" applyFont="1" applyBorder="1" applyAlignment="1">
      <alignment horizontal="left" vertical="center" wrapText="1"/>
    </xf>
    <xf numFmtId="0" fontId="4" fillId="5" borderId="7" xfId="0" applyFont="1" applyFill="1" applyBorder="1" applyAlignment="1">
      <alignment horizontal="center" vertical="center"/>
    </xf>
    <xf numFmtId="178" fontId="4" fillId="5" borderId="5" xfId="0" applyNumberFormat="1" applyFont="1" applyFill="1" applyBorder="1" applyAlignment="1">
      <alignment horizontal="center" vertical="center"/>
    </xf>
    <xf numFmtId="0" fontId="4" fillId="5" borderId="30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0" fillId="0" borderId="0" xfId="0"/>
    <xf numFmtId="0" fontId="11" fillId="0" borderId="0" xfId="0" applyFont="1" applyFill="1" applyBorder="1" applyProtection="1"/>
    <xf numFmtId="0" fontId="13" fillId="0" borderId="0" xfId="0" applyFont="1" applyFill="1" applyBorder="1" applyAlignment="1" applyProtection="1">
      <alignment horizontal="left"/>
    </xf>
    <xf numFmtId="0" fontId="9" fillId="0" borderId="0" xfId="0" applyFont="1" applyFill="1" applyBorder="1" applyAlignment="1" applyProtection="1">
      <alignment horizontal="center"/>
    </xf>
    <xf numFmtId="0" fontId="13" fillId="0" borderId="8" xfId="0" applyFont="1" applyFill="1" applyBorder="1" applyProtection="1"/>
    <xf numFmtId="0" fontId="14" fillId="0" borderId="9" xfId="0" applyFont="1" applyFill="1" applyBorder="1" applyAlignment="1" applyProtection="1">
      <alignment horizontal="left"/>
    </xf>
    <xf numFmtId="0" fontId="14" fillId="0" borderId="10" xfId="0" applyFont="1" applyFill="1" applyBorder="1" applyAlignment="1" applyProtection="1">
      <alignment horizontal="left"/>
    </xf>
    <xf numFmtId="0" fontId="15" fillId="0" borderId="10" xfId="0" applyFont="1" applyFill="1" applyBorder="1" applyAlignment="1" applyProtection="1">
      <alignment horizontal="left"/>
    </xf>
    <xf numFmtId="0" fontId="11" fillId="0" borderId="10" xfId="0" applyFont="1" applyFill="1" applyBorder="1" applyAlignment="1" applyProtection="1">
      <alignment horizontal="left"/>
    </xf>
    <xf numFmtId="0" fontId="11" fillId="0" borderId="33" xfId="0" applyFont="1" applyFill="1" applyBorder="1" applyAlignment="1" applyProtection="1">
      <alignment horizontal="left"/>
    </xf>
    <xf numFmtId="0" fontId="11" fillId="0" borderId="0" xfId="0" applyFont="1" applyFill="1" applyBorder="1" applyAlignment="1" applyProtection="1">
      <alignment horizontal="left"/>
    </xf>
    <xf numFmtId="0" fontId="14" fillId="0" borderId="11" xfId="0" applyFont="1" applyFill="1" applyBorder="1" applyAlignment="1" applyProtection="1">
      <alignment horizontal="left" vertical="top"/>
    </xf>
    <xf numFmtId="0" fontId="14" fillId="0" borderId="8" xfId="0" applyFont="1" applyFill="1" applyBorder="1" applyAlignment="1" applyProtection="1">
      <alignment horizontal="left"/>
    </xf>
    <xf numFmtId="0" fontId="15" fillId="0" borderId="8" xfId="0" applyFont="1" applyFill="1" applyBorder="1" applyAlignment="1" applyProtection="1">
      <alignment horizontal="left"/>
    </xf>
    <xf numFmtId="0" fontId="14" fillId="0" borderId="12" xfId="0" applyFont="1" applyFill="1" applyBorder="1" applyAlignment="1" applyProtection="1">
      <alignment horizontal="left"/>
    </xf>
    <xf numFmtId="0" fontId="14" fillId="0" borderId="13" xfId="0" applyFont="1" applyFill="1" applyBorder="1" applyAlignment="1" applyProtection="1">
      <alignment horizontal="left"/>
    </xf>
    <xf numFmtId="0" fontId="15" fillId="0" borderId="0" xfId="0" applyFont="1" applyFill="1" applyBorder="1" applyAlignment="1" applyProtection="1">
      <alignment horizontal="left"/>
    </xf>
    <xf numFmtId="0" fontId="15" fillId="0" borderId="0" xfId="0" applyFont="1" applyFill="1" applyBorder="1" applyProtection="1"/>
    <xf numFmtId="0" fontId="11" fillId="0" borderId="14" xfId="0" applyFont="1" applyFill="1" applyBorder="1" applyProtection="1"/>
    <xf numFmtId="0" fontId="13" fillId="0" borderId="0" xfId="0" applyFont="1" applyFill="1" applyBorder="1" applyProtection="1"/>
    <xf numFmtId="0" fontId="14" fillId="0" borderId="11" xfId="0" applyFont="1" applyFill="1" applyBorder="1" applyAlignment="1" applyProtection="1">
      <alignment horizontal="left"/>
    </xf>
    <xf numFmtId="0" fontId="15" fillId="0" borderId="8" xfId="0" applyFont="1" applyFill="1" applyBorder="1" applyProtection="1"/>
    <xf numFmtId="0" fontId="11" fillId="0" borderId="8" xfId="0" applyFont="1" applyFill="1" applyBorder="1" applyProtection="1"/>
    <xf numFmtId="0" fontId="11" fillId="0" borderId="12" xfId="0" applyFont="1" applyFill="1" applyBorder="1" applyProtection="1"/>
    <xf numFmtId="0" fontId="14" fillId="0" borderId="13" xfId="0" applyFont="1" applyFill="1" applyBorder="1" applyProtection="1"/>
    <xf numFmtId="0" fontId="19" fillId="0" borderId="0" xfId="0" applyFont="1" applyFill="1" applyBorder="1" applyProtection="1"/>
    <xf numFmtId="0" fontId="20" fillId="0" borderId="11" xfId="0" applyFont="1" applyFill="1" applyBorder="1" applyProtection="1"/>
    <xf numFmtId="0" fontId="20" fillId="0" borderId="8" xfId="0" applyFont="1" applyFill="1" applyBorder="1" applyAlignment="1" applyProtection="1">
      <alignment horizontal="left"/>
    </xf>
    <xf numFmtId="0" fontId="20" fillId="0" borderId="8" xfId="0" applyFont="1" applyFill="1" applyBorder="1" applyAlignment="1" applyProtection="1">
      <alignment horizontal="center"/>
    </xf>
    <xf numFmtId="0" fontId="14" fillId="0" borderId="15" xfId="0" applyFont="1" applyFill="1" applyBorder="1" applyProtection="1"/>
    <xf numFmtId="0" fontId="11" fillId="0" borderId="16" xfId="0" applyFont="1" applyFill="1" applyBorder="1" applyProtection="1"/>
    <xf numFmtId="0" fontId="23" fillId="0" borderId="7" xfId="0" applyFont="1" applyFill="1" applyBorder="1" applyAlignment="1" applyProtection="1">
      <alignment horizontal="justify" vertical="center" wrapText="1"/>
    </xf>
    <xf numFmtId="0" fontId="24" fillId="0" borderId="4" xfId="0" applyFont="1" applyFill="1" applyBorder="1" applyAlignment="1" applyProtection="1">
      <alignment horizontal="center" vertical="center" wrapText="1"/>
    </xf>
    <xf numFmtId="0" fontId="24" fillId="0" borderId="7" xfId="0" applyFont="1" applyFill="1" applyBorder="1" applyAlignment="1" applyProtection="1">
      <alignment horizontal="justify" vertical="center" wrapText="1"/>
    </xf>
    <xf numFmtId="0" fontId="24" fillId="0" borderId="5" xfId="0" applyFont="1" applyFill="1" applyBorder="1" applyAlignment="1" applyProtection="1">
      <alignment horizontal="justify" vertical="center" wrapText="1"/>
    </xf>
    <xf numFmtId="0" fontId="13" fillId="0" borderId="14" xfId="0" applyFont="1" applyFill="1" applyBorder="1" applyAlignment="1" applyProtection="1">
      <alignment horizontal="justify" vertical="center" wrapText="1"/>
    </xf>
    <xf numFmtId="0" fontId="13" fillId="0" borderId="0" xfId="0" applyFont="1" applyFill="1" applyBorder="1" applyAlignment="1" applyProtection="1">
      <alignment horizontal="justify" vertical="center" wrapText="1"/>
    </xf>
    <xf numFmtId="0" fontId="23" fillId="0" borderId="7" xfId="0" applyFont="1" applyFill="1" applyBorder="1" applyProtection="1"/>
    <xf numFmtId="2" fontId="11" fillId="0" borderId="0" xfId="0" applyNumberFormat="1" applyFont="1" applyFill="1" applyBorder="1" applyProtection="1"/>
    <xf numFmtId="0" fontId="20" fillId="0" borderId="7" xfId="0" applyFont="1" applyFill="1" applyBorder="1" applyProtection="1"/>
    <xf numFmtId="0" fontId="19" fillId="0" borderId="17" xfId="0" applyFont="1" applyFill="1" applyBorder="1" applyProtection="1"/>
    <xf numFmtId="0" fontId="11" fillId="0" borderId="17" xfId="0" applyFont="1" applyFill="1" applyBorder="1" applyProtection="1"/>
    <xf numFmtId="0" fontId="28" fillId="0" borderId="13" xfId="0" applyFont="1" applyFill="1" applyBorder="1" applyProtection="1"/>
    <xf numFmtId="0" fontId="11" fillId="0" borderId="14" xfId="0" applyFont="1" applyFill="1" applyBorder="1" applyAlignment="1" applyProtection="1">
      <alignment horizontal="center"/>
    </xf>
    <xf numFmtId="0" fontId="11" fillId="0" borderId="5" xfId="0" applyFont="1" applyFill="1" applyBorder="1" applyProtection="1"/>
    <xf numFmtId="0" fontId="11" fillId="0" borderId="5" xfId="0" applyFont="1" applyFill="1" applyBorder="1" applyAlignment="1" applyProtection="1">
      <alignment horizontal="center"/>
    </xf>
    <xf numFmtId="2" fontId="27" fillId="0" borderId="14" xfId="0" applyNumberFormat="1" applyFont="1" applyFill="1" applyBorder="1" applyAlignment="1" applyProtection="1">
      <alignment horizontal="center"/>
    </xf>
    <xf numFmtId="0" fontId="13" fillId="0" borderId="11" xfId="0" applyFont="1" applyFill="1" applyBorder="1" applyProtection="1"/>
    <xf numFmtId="0" fontId="27" fillId="0" borderId="13" xfId="0" applyFont="1" applyFill="1" applyBorder="1" applyProtection="1"/>
    <xf numFmtId="0" fontId="14" fillId="0" borderId="5" xfId="0" applyFont="1" applyFill="1" applyBorder="1" applyAlignment="1" applyProtection="1">
      <alignment horizontal="right"/>
    </xf>
    <xf numFmtId="0" fontId="15" fillId="0" borderId="5" xfId="0" applyFont="1" applyFill="1" applyBorder="1" applyProtection="1"/>
    <xf numFmtId="171" fontId="11" fillId="0" borderId="5" xfId="0" applyNumberFormat="1" applyFont="1" applyFill="1" applyBorder="1" applyProtection="1"/>
    <xf numFmtId="169" fontId="11" fillId="0" borderId="5" xfId="0" applyNumberFormat="1" applyFont="1" applyFill="1" applyBorder="1" applyProtection="1"/>
    <xf numFmtId="0" fontId="11" fillId="0" borderId="19" xfId="0" applyFont="1" applyFill="1" applyBorder="1" applyProtection="1"/>
    <xf numFmtId="169" fontId="11" fillId="0" borderId="19" xfId="0" applyNumberFormat="1" applyFont="1" applyFill="1" applyBorder="1" applyProtection="1"/>
    <xf numFmtId="0" fontId="13" fillId="0" borderId="20" xfId="0" applyFont="1" applyFill="1" applyBorder="1" applyAlignment="1" applyProtection="1">
      <alignment horizontal="right"/>
    </xf>
    <xf numFmtId="0" fontId="13" fillId="0" borderId="21" xfId="0" applyFont="1" applyFill="1" applyBorder="1" applyAlignment="1" applyProtection="1">
      <alignment horizontal="right"/>
    </xf>
    <xf numFmtId="0" fontId="13" fillId="0" borderId="2" xfId="0" applyFont="1" applyFill="1" applyBorder="1" applyAlignment="1" applyProtection="1">
      <alignment horizontal="right"/>
    </xf>
    <xf numFmtId="0" fontId="13" fillId="0" borderId="22" xfId="0" applyFont="1" applyFill="1" applyBorder="1" applyAlignment="1" applyProtection="1">
      <alignment horizontal="right"/>
    </xf>
    <xf numFmtId="171" fontId="6" fillId="0" borderId="23" xfId="0" applyNumberFormat="1" applyFont="1" applyBorder="1" applyAlignment="1">
      <alignment horizontal="center"/>
    </xf>
    <xf numFmtId="0" fontId="14" fillId="0" borderId="23" xfId="0" applyFont="1" applyFill="1" applyBorder="1" applyAlignment="1">
      <alignment horizontal="center"/>
    </xf>
    <xf numFmtId="174" fontId="13" fillId="0" borderId="23" xfId="0" applyNumberFormat="1" applyFont="1" applyFill="1" applyBorder="1" applyAlignment="1" applyProtection="1">
      <alignment horizontal="right"/>
      <protection locked="0"/>
    </xf>
    <xf numFmtId="20" fontId="13" fillId="0" borderId="18" xfId="0" applyNumberFormat="1" applyFont="1" applyFill="1" applyBorder="1" applyAlignment="1" applyProtection="1">
      <alignment horizontal="center"/>
      <protection locked="0"/>
    </xf>
    <xf numFmtId="0" fontId="13" fillId="0" borderId="13" xfId="0" applyFont="1" applyFill="1" applyBorder="1" applyProtection="1"/>
    <xf numFmtId="169" fontId="13" fillId="0" borderId="0" xfId="0" applyNumberFormat="1" applyFont="1" applyFill="1" applyBorder="1" applyAlignment="1" applyProtection="1">
      <alignment horizontal="center"/>
    </xf>
    <xf numFmtId="0" fontId="13" fillId="0" borderId="0" xfId="0" applyFont="1" applyFill="1" applyBorder="1" applyAlignment="1" applyProtection="1">
      <alignment horizontal="center"/>
    </xf>
    <xf numFmtId="0" fontId="11" fillId="0" borderId="24" xfId="0" applyFont="1" applyFill="1" applyBorder="1" applyProtection="1"/>
    <xf numFmtId="0" fontId="13" fillId="0" borderId="7" xfId="0" applyFont="1" applyFill="1" applyBorder="1" applyAlignment="1" applyProtection="1">
      <alignment horizontal="left"/>
    </xf>
    <xf numFmtId="0" fontId="11" fillId="0" borderId="25" xfId="0" applyFont="1" applyFill="1" applyBorder="1" applyProtection="1"/>
    <xf numFmtId="0" fontId="13" fillId="0" borderId="26" xfId="0" applyFont="1" applyFill="1" applyBorder="1" applyAlignment="1" applyProtection="1">
      <alignment horizontal="left"/>
    </xf>
    <xf numFmtId="171" fontId="13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26" xfId="0" applyFont="1" applyFill="1" applyBorder="1" applyProtection="1"/>
    <xf numFmtId="0" fontId="11" fillId="0" borderId="27" xfId="0" applyFont="1" applyFill="1" applyBorder="1" applyProtection="1"/>
    <xf numFmtId="0" fontId="13" fillId="0" borderId="17" xfId="0" applyFont="1" applyFill="1" applyBorder="1" applyAlignment="1" applyProtection="1">
      <alignment horizontal="left"/>
    </xf>
    <xf numFmtId="171" fontId="13" fillId="0" borderId="4" xfId="0" applyNumberFormat="1" applyFont="1" applyFill="1" applyBorder="1" applyProtection="1"/>
    <xf numFmtId="10" fontId="13" fillId="0" borderId="0" xfId="4" applyNumberFormat="1" applyFont="1" applyFill="1" applyBorder="1" applyProtection="1"/>
    <xf numFmtId="0" fontId="11" fillId="0" borderId="0" xfId="0" applyFont="1" applyFill="1" applyBorder="1" applyProtection="1">
      <protection locked="0"/>
    </xf>
    <xf numFmtId="0" fontId="11" fillId="0" borderId="13" xfId="0" applyFont="1" applyFill="1" applyBorder="1" applyProtection="1">
      <protection locked="0"/>
    </xf>
    <xf numFmtId="0" fontId="13" fillId="0" borderId="11" xfId="0" applyFont="1" applyFill="1" applyBorder="1" applyAlignment="1" applyProtection="1">
      <alignment horizontal="left"/>
      <protection locked="0"/>
    </xf>
    <xf numFmtId="0" fontId="11" fillId="0" borderId="8" xfId="0" applyFont="1" applyFill="1" applyBorder="1" applyProtection="1">
      <protection locked="0"/>
    </xf>
    <xf numFmtId="0" fontId="9" fillId="0" borderId="0" xfId="0" applyFont="1" applyFill="1" applyBorder="1" applyProtection="1"/>
    <xf numFmtId="14" fontId="11" fillId="0" borderId="0" xfId="0" applyNumberFormat="1" applyFont="1" applyFill="1" applyBorder="1" applyProtection="1">
      <protection locked="0"/>
    </xf>
    <xf numFmtId="169" fontId="11" fillId="3" borderId="12" xfId="0" applyNumberFormat="1" applyFont="1" applyFill="1" applyBorder="1" applyAlignment="1" applyProtection="1">
      <alignment horizontal="center"/>
    </xf>
    <xf numFmtId="168" fontId="11" fillId="4" borderId="8" xfId="0" applyNumberFormat="1" applyFont="1" applyFill="1" applyBorder="1" applyAlignment="1" applyProtection="1">
      <alignment horizontal="center"/>
    </xf>
    <xf numFmtId="0" fontId="15" fillId="3" borderId="8" xfId="0" applyFont="1" applyFill="1" applyBorder="1" applyAlignment="1" applyProtection="1">
      <alignment horizontal="left"/>
    </xf>
    <xf numFmtId="175" fontId="27" fillId="3" borderId="0" xfId="0" applyNumberFormat="1" applyFont="1" applyFill="1" applyBorder="1" applyProtection="1"/>
    <xf numFmtId="0" fontId="27" fillId="3" borderId="0" xfId="0" applyFont="1" applyFill="1" applyBorder="1" applyProtection="1"/>
    <xf numFmtId="175" fontId="27" fillId="3" borderId="0" xfId="0" applyNumberFormat="1" applyFont="1" applyFill="1" applyBorder="1" applyProtection="1">
      <protection locked="0"/>
    </xf>
    <xf numFmtId="169" fontId="11" fillId="4" borderId="0" xfId="0" applyNumberFormat="1" applyFont="1" applyFill="1" applyBorder="1" applyAlignment="1" applyProtection="1">
      <alignment horizontal="center"/>
    </xf>
    <xf numFmtId="169" fontId="13" fillId="3" borderId="8" xfId="0" applyNumberFormat="1" applyFont="1" applyFill="1" applyBorder="1" applyAlignment="1" applyProtection="1">
      <alignment horizontal="center"/>
    </xf>
    <xf numFmtId="171" fontId="27" fillId="3" borderId="27" xfId="0" applyNumberFormat="1" applyFont="1" applyFill="1" applyBorder="1" applyProtection="1"/>
    <xf numFmtId="0" fontId="19" fillId="3" borderId="7" xfId="0" applyFont="1" applyFill="1" applyBorder="1" applyAlignment="1" applyProtection="1">
      <alignment horizontal="center"/>
    </xf>
    <xf numFmtId="2" fontId="13" fillId="3" borderId="21" xfId="0" applyNumberFormat="1" applyFont="1" applyFill="1" applyBorder="1" applyAlignment="1" applyProtection="1">
      <alignment horizontal="center"/>
    </xf>
    <xf numFmtId="171" fontId="13" fillId="3" borderId="23" xfId="0" applyNumberFormat="1" applyFont="1" applyFill="1" applyBorder="1" applyAlignment="1" applyProtection="1">
      <alignment horizontal="center"/>
      <protection locked="0"/>
    </xf>
    <xf numFmtId="166" fontId="13" fillId="3" borderId="25" xfId="0" applyNumberFormat="1" applyFont="1" applyFill="1" applyBorder="1" applyAlignment="1" applyProtection="1">
      <alignment horizontal="center"/>
      <protection locked="0"/>
    </xf>
    <xf numFmtId="171" fontId="13" fillId="3" borderId="27" xfId="0" applyNumberFormat="1" applyFont="1" applyFill="1" applyBorder="1" applyAlignment="1" applyProtection="1">
      <alignment horizontal="center"/>
    </xf>
    <xf numFmtId="0" fontId="9" fillId="5" borderId="0" xfId="0" applyFont="1" applyFill="1" applyBorder="1" applyAlignment="1" applyProtection="1">
      <alignment horizontal="center"/>
    </xf>
    <xf numFmtId="0" fontId="11" fillId="5" borderId="8" xfId="0" applyFont="1" applyFill="1" applyBorder="1" applyAlignment="1" applyProtection="1">
      <alignment horizontal="center"/>
      <protection locked="0"/>
    </xf>
    <xf numFmtId="0" fontId="19" fillId="5" borderId="7" xfId="0" applyFont="1" applyFill="1" applyBorder="1" applyAlignment="1" applyProtection="1">
      <alignment horizontal="center"/>
      <protection locked="0"/>
    </xf>
    <xf numFmtId="0" fontId="11" fillId="5" borderId="5" xfId="0" applyFont="1" applyFill="1" applyBorder="1" applyProtection="1"/>
    <xf numFmtId="0" fontId="27" fillId="5" borderId="5" xfId="0" applyFont="1" applyFill="1" applyBorder="1" applyAlignment="1" applyProtection="1">
      <alignment horizontal="center"/>
      <protection locked="0"/>
    </xf>
    <xf numFmtId="0" fontId="13" fillId="5" borderId="5" xfId="0" applyFont="1" applyFill="1" applyBorder="1" applyAlignment="1" applyProtection="1">
      <alignment horizontal="center"/>
    </xf>
    <xf numFmtId="166" fontId="13" fillId="5" borderId="25" xfId="0" applyNumberFormat="1" applyFont="1" applyFill="1" applyBorder="1" applyAlignment="1" applyProtection="1">
      <alignment horizontal="center"/>
      <protection locked="0"/>
    </xf>
    <xf numFmtId="2" fontId="11" fillId="5" borderId="0" xfId="0" applyNumberFormat="1" applyFont="1" applyFill="1" applyBorder="1" applyProtection="1">
      <protection locked="0"/>
    </xf>
    <xf numFmtId="15" fontId="11" fillId="5" borderId="0" xfId="0" applyNumberFormat="1" applyFont="1" applyFill="1" applyBorder="1" applyProtection="1"/>
    <xf numFmtId="0" fontId="41" fillId="0" borderId="8" xfId="0" applyFont="1" applyFill="1" applyBorder="1" applyAlignment="1" applyProtection="1">
      <alignment horizontal="left"/>
      <protection locked="0"/>
    </xf>
    <xf numFmtId="0" fontId="13" fillId="0" borderId="5" xfId="0" applyFont="1" applyFill="1" applyBorder="1" applyAlignment="1" applyProtection="1">
      <alignment horizontal="center" vertical="center" wrapText="1"/>
    </xf>
    <xf numFmtId="171" fontId="11" fillId="3" borderId="5" xfId="0" applyNumberFormat="1" applyFont="1" applyFill="1" applyBorder="1" applyAlignment="1" applyProtection="1">
      <alignment horizontal="center"/>
    </xf>
    <xf numFmtId="0" fontId="11" fillId="5" borderId="5" xfId="0" applyFont="1" applyFill="1" applyBorder="1" applyAlignment="1" applyProtection="1">
      <alignment horizontal="center"/>
    </xf>
    <xf numFmtId="170" fontId="11" fillId="5" borderId="5" xfId="0" applyNumberFormat="1" applyFont="1" applyFill="1" applyBorder="1" applyAlignment="1" applyProtection="1">
      <alignment horizontal="center"/>
    </xf>
    <xf numFmtId="0" fontId="42" fillId="0" borderId="0" xfId="0" applyFont="1" applyFill="1" applyBorder="1" applyProtection="1"/>
    <xf numFmtId="0" fontId="43" fillId="0" borderId="14" xfId="0" applyFont="1" applyFill="1" applyBorder="1" applyAlignment="1" applyProtection="1">
      <alignment horizontal="center" vertical="center"/>
    </xf>
    <xf numFmtId="0" fontId="44" fillId="0" borderId="0" xfId="0" applyFont="1"/>
    <xf numFmtId="0" fontId="27" fillId="0" borderId="0" xfId="0" applyFont="1"/>
    <xf numFmtId="0" fontId="27" fillId="0" borderId="0" xfId="0" applyFont="1" applyAlignment="1">
      <alignment horizontal="left"/>
    </xf>
    <xf numFmtId="0" fontId="45" fillId="0" borderId="0" xfId="0" applyFont="1"/>
    <xf numFmtId="0" fontId="27" fillId="4" borderId="32" xfId="0" applyFont="1" applyFill="1" applyBorder="1" applyAlignment="1">
      <alignment horizontal="center"/>
    </xf>
    <xf numFmtId="0" fontId="27" fillId="4" borderId="33" xfId="0" applyFont="1" applyFill="1" applyBorder="1" applyAlignment="1">
      <alignment horizontal="center"/>
    </xf>
    <xf numFmtId="0" fontId="27" fillId="4" borderId="34" xfId="0" applyFont="1" applyFill="1" applyBorder="1" applyAlignment="1">
      <alignment horizontal="center"/>
    </xf>
    <xf numFmtId="0" fontId="27" fillId="4" borderId="35" xfId="0" applyFont="1" applyFill="1" applyBorder="1" applyAlignment="1">
      <alignment horizontal="center"/>
    </xf>
    <xf numFmtId="0" fontId="27" fillId="4" borderId="10" xfId="0" applyFont="1" applyFill="1" applyBorder="1" applyAlignment="1">
      <alignment horizontal="center"/>
    </xf>
    <xf numFmtId="0" fontId="0" fillId="0" borderId="36" xfId="0" applyBorder="1"/>
    <xf numFmtId="0" fontId="27" fillId="4" borderId="37" xfId="0" applyFont="1" applyFill="1" applyBorder="1" applyAlignment="1">
      <alignment horizontal="center"/>
    </xf>
    <xf numFmtId="0" fontId="46" fillId="4" borderId="12" xfId="0" applyFont="1" applyFill="1" applyBorder="1" applyAlignment="1">
      <alignment horizontal="center"/>
    </xf>
    <xf numFmtId="0" fontId="27" fillId="4" borderId="38" xfId="0" applyFont="1" applyFill="1" applyBorder="1" applyAlignment="1">
      <alignment horizontal="center"/>
    </xf>
    <xf numFmtId="0" fontId="27" fillId="4" borderId="39" xfId="0" applyFont="1" applyFill="1" applyBorder="1" applyAlignment="1">
      <alignment horizontal="center"/>
    </xf>
    <xf numFmtId="0" fontId="27" fillId="4" borderId="40" xfId="0" applyFont="1" applyFill="1" applyBorder="1" applyAlignment="1">
      <alignment horizontal="center"/>
    </xf>
    <xf numFmtId="173" fontId="27" fillId="6" borderId="25" xfId="0" applyNumberFormat="1" applyFont="1" applyFill="1" applyBorder="1" applyAlignment="1">
      <alignment horizontal="center"/>
    </xf>
    <xf numFmtId="176" fontId="27" fillId="6" borderId="41" xfId="0" applyNumberFormat="1" applyFont="1" applyFill="1" applyBorder="1" applyAlignment="1">
      <alignment horizontal="center"/>
    </xf>
    <xf numFmtId="1" fontId="27" fillId="6" borderId="26" xfId="0" applyNumberFormat="1" applyFont="1" applyFill="1" applyBorder="1" applyAlignment="1">
      <alignment horizontal="center"/>
    </xf>
    <xf numFmtId="173" fontId="27" fillId="7" borderId="25" xfId="0" applyNumberFormat="1" applyFont="1" applyFill="1" applyBorder="1" applyAlignment="1">
      <alignment horizontal="center"/>
    </xf>
    <xf numFmtId="176" fontId="27" fillId="7" borderId="41" xfId="0" applyNumberFormat="1" applyFont="1" applyFill="1" applyBorder="1" applyAlignment="1">
      <alignment horizontal="center"/>
    </xf>
    <xf numFmtId="1" fontId="27" fillId="7" borderId="26" xfId="0" applyNumberFormat="1" applyFont="1" applyFill="1" applyBorder="1" applyAlignment="1">
      <alignment horizontal="center"/>
    </xf>
    <xf numFmtId="1" fontId="27" fillId="7" borderId="30" xfId="0" applyNumberFormat="1" applyFont="1" applyFill="1" applyBorder="1" applyAlignment="1">
      <alignment horizontal="center"/>
    </xf>
    <xf numFmtId="0" fontId="46" fillId="4" borderId="42" xfId="0" applyFont="1" applyFill="1" applyBorder="1" applyAlignment="1">
      <alignment horizontal="center"/>
    </xf>
    <xf numFmtId="173" fontId="46" fillId="6" borderId="5" xfId="0" applyNumberFormat="1" applyFont="1" applyFill="1" applyBorder="1" applyAlignment="1">
      <alignment horizontal="center"/>
    </xf>
    <xf numFmtId="1" fontId="46" fillId="6" borderId="7" xfId="0" applyNumberFormat="1" applyFont="1" applyFill="1" applyBorder="1" applyAlignment="1">
      <alignment horizontal="center"/>
    </xf>
    <xf numFmtId="173" fontId="46" fillId="7" borderId="5" xfId="0" applyNumberFormat="1" applyFont="1" applyFill="1" applyBorder="1" applyAlignment="1">
      <alignment horizontal="center"/>
    </xf>
    <xf numFmtId="0" fontId="0" fillId="0" borderId="0" xfId="0" applyFill="1"/>
    <xf numFmtId="0" fontId="27" fillId="4" borderId="42" xfId="0" applyFont="1" applyFill="1" applyBorder="1" applyAlignment="1">
      <alignment horizontal="center"/>
    </xf>
    <xf numFmtId="173" fontId="27" fillId="6" borderId="5" xfId="0" applyNumberFormat="1" applyFont="1" applyFill="1" applyBorder="1" applyAlignment="1">
      <alignment horizontal="center"/>
    </xf>
    <xf numFmtId="1" fontId="27" fillId="6" borderId="7" xfId="0" applyNumberFormat="1" applyFont="1" applyFill="1" applyBorder="1" applyAlignment="1">
      <alignment horizontal="center"/>
    </xf>
    <xf numFmtId="173" fontId="27" fillId="7" borderId="5" xfId="0" applyNumberFormat="1" applyFont="1" applyFill="1" applyBorder="1" applyAlignment="1">
      <alignment horizontal="center"/>
    </xf>
    <xf numFmtId="1" fontId="27" fillId="7" borderId="7" xfId="0" applyNumberFormat="1" applyFont="1" applyFill="1" applyBorder="1" applyAlignment="1">
      <alignment horizontal="center"/>
    </xf>
    <xf numFmtId="0" fontId="0" fillId="0" borderId="0" xfId="0" applyFill="1" applyBorder="1"/>
    <xf numFmtId="0" fontId="46" fillId="4" borderId="43" xfId="0" applyFont="1" applyFill="1" applyBorder="1" applyAlignment="1">
      <alignment horizontal="center"/>
    </xf>
    <xf numFmtId="173" fontId="46" fillId="6" borderId="44" xfId="0" applyNumberFormat="1" applyFont="1" applyFill="1" applyBorder="1" applyAlignment="1">
      <alignment horizontal="center"/>
    </xf>
    <xf numFmtId="176" fontId="27" fillId="6" borderId="45" xfId="0" applyNumberFormat="1" applyFont="1" applyFill="1" applyBorder="1" applyAlignment="1">
      <alignment horizontal="center"/>
    </xf>
    <xf numFmtId="1" fontId="46" fillId="6" borderId="31" xfId="0" applyNumberFormat="1" applyFont="1" applyFill="1" applyBorder="1" applyAlignment="1">
      <alignment horizontal="center"/>
    </xf>
    <xf numFmtId="173" fontId="46" fillId="7" borderId="44" xfId="0" applyNumberFormat="1" applyFont="1" applyFill="1" applyBorder="1" applyAlignment="1">
      <alignment horizontal="center"/>
    </xf>
    <xf numFmtId="176" fontId="27" fillId="7" borderId="45" xfId="0" applyNumberFormat="1" applyFont="1" applyFill="1" applyBorder="1" applyAlignment="1">
      <alignment horizontal="center"/>
    </xf>
    <xf numFmtId="0" fontId="46" fillId="4" borderId="28" xfId="0" applyFont="1" applyFill="1" applyBorder="1" applyAlignment="1">
      <alignment horizontal="center"/>
    </xf>
    <xf numFmtId="173" fontId="46" fillId="6" borderId="27" xfId="0" applyNumberFormat="1" applyFont="1" applyFill="1" applyBorder="1" applyAlignment="1">
      <alignment horizontal="center"/>
    </xf>
    <xf numFmtId="176" fontId="27" fillId="6" borderId="27" xfId="0" applyNumberFormat="1" applyFont="1" applyFill="1" applyBorder="1" applyAlignment="1">
      <alignment horizontal="center"/>
    </xf>
    <xf numFmtId="1" fontId="46" fillId="6" borderId="17" xfId="0" applyNumberFormat="1" applyFont="1" applyFill="1" applyBorder="1" applyAlignment="1">
      <alignment horizontal="center"/>
    </xf>
    <xf numFmtId="173" fontId="46" fillId="7" borderId="27" xfId="0" applyNumberFormat="1" applyFont="1" applyFill="1" applyBorder="1" applyAlignment="1">
      <alignment horizontal="center"/>
    </xf>
    <xf numFmtId="176" fontId="27" fillId="7" borderId="27" xfId="0" applyNumberFormat="1" applyFont="1" applyFill="1" applyBorder="1" applyAlignment="1">
      <alignment horizontal="center"/>
    </xf>
    <xf numFmtId="177" fontId="0" fillId="0" borderId="0" xfId="0" applyNumberFormat="1"/>
    <xf numFmtId="0" fontId="47" fillId="0" borderId="0" xfId="0" applyFont="1"/>
    <xf numFmtId="0" fontId="20" fillId="0" borderId="18" xfId="0" applyFont="1" applyFill="1" applyBorder="1" applyProtection="1"/>
    <xf numFmtId="0" fontId="24" fillId="0" borderId="42" xfId="0" applyFont="1" applyFill="1" applyBorder="1" applyAlignment="1" applyProtection="1">
      <alignment horizontal="center" vertical="center" wrapText="1"/>
    </xf>
    <xf numFmtId="0" fontId="11" fillId="0" borderId="42" xfId="0" applyFont="1" applyFill="1" applyBorder="1" applyAlignment="1" applyProtection="1">
      <alignment horizontal="center"/>
    </xf>
    <xf numFmtId="0" fontId="11" fillId="0" borderId="36" xfId="0" applyFont="1" applyFill="1" applyBorder="1" applyProtection="1"/>
    <xf numFmtId="2" fontId="11" fillId="0" borderId="36" xfId="0" applyNumberFormat="1" applyFont="1" applyFill="1" applyBorder="1" applyProtection="1"/>
    <xf numFmtId="0" fontId="11" fillId="0" borderId="28" xfId="0" applyFont="1" applyFill="1" applyBorder="1" applyProtection="1"/>
    <xf numFmtId="1" fontId="27" fillId="7" borderId="31" xfId="0" applyNumberFormat="1" applyFont="1" applyFill="1" applyBorder="1" applyAlignment="1">
      <alignment horizontal="center"/>
    </xf>
    <xf numFmtId="1" fontId="27" fillId="7" borderId="17" xfId="0" applyNumberFormat="1" applyFont="1" applyFill="1" applyBorder="1" applyAlignment="1">
      <alignment horizontal="center"/>
    </xf>
    <xf numFmtId="1" fontId="27" fillId="6" borderId="31" xfId="0" applyNumberFormat="1" applyFont="1" applyFill="1" applyBorder="1" applyAlignment="1">
      <alignment horizontal="center"/>
    </xf>
    <xf numFmtId="176" fontId="27" fillId="6" borderId="22" xfId="0" applyNumberFormat="1" applyFont="1" applyFill="1" applyBorder="1" applyAlignment="1">
      <alignment horizontal="center"/>
    </xf>
    <xf numFmtId="1" fontId="27" fillId="6" borderId="17" xfId="0" applyNumberFormat="1" applyFont="1" applyFill="1" applyBorder="1" applyAlignment="1">
      <alignment horizontal="center"/>
    </xf>
    <xf numFmtId="0" fontId="6" fillId="0" borderId="36" xfId="0" applyFont="1" applyBorder="1"/>
    <xf numFmtId="0" fontId="6" fillId="0" borderId="0" xfId="0" applyFont="1"/>
    <xf numFmtId="0" fontId="6" fillId="0" borderId="0" xfId="0" applyFont="1" applyFill="1"/>
    <xf numFmtId="0" fontId="27" fillId="0" borderId="0" xfId="0" applyFont="1" applyAlignment="1">
      <alignment horizontal="right" vertical="center"/>
    </xf>
  </cellXfs>
  <cellStyles count="8">
    <cellStyle name="Normal" xfId="0" builtinId="0"/>
    <cellStyle name="Normal 2" xfId="1"/>
    <cellStyle name="Normal 3" xfId="2"/>
    <cellStyle name="Normal 3 2" xfId="7"/>
    <cellStyle name="Normal 4" xfId="3"/>
    <cellStyle name="Normal 4 2" xfId="6"/>
    <cellStyle name="Percent" xfId="4" builtinId="5"/>
    <cellStyle name="Percent 2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rcc-3\home\PHYSICS\2018%20QA%20Results\HDR_2018\Batch%2342%20Dec%202018\Batch%2342%20HDR%20Quarterly%20QA%200709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DR Quarterly QA"/>
      <sheetName val="Exit Source Calibration"/>
      <sheetName val="New Source Calibration"/>
      <sheetName val="Decay Chart"/>
      <sheetName val="Daily Safety &amp; QA"/>
      <sheetName val="Power Failure Recovery"/>
      <sheetName val="Applicators &amp; Transfer Tubes"/>
    </sheetNames>
    <sheetDataSet>
      <sheetData sheetId="0"/>
      <sheetData sheetId="1"/>
      <sheetData sheetId="2">
        <row r="3">
          <cell r="B3">
            <v>42</v>
          </cell>
        </row>
        <row r="4">
          <cell r="B4">
            <v>43444.620138888888</v>
          </cell>
          <cell r="E4" t="str">
            <v>NLF 01 D85E3112</v>
          </cell>
        </row>
        <row r="34">
          <cell r="B34">
            <v>383.8</v>
          </cell>
        </row>
        <row r="35">
          <cell r="B35">
            <v>43431.072916666664</v>
          </cell>
        </row>
        <row r="36">
          <cell r="B36">
            <v>43430.822916666664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9"/>
  <sheetViews>
    <sheetView workbookViewId="0">
      <selection activeCell="E35" sqref="E35"/>
    </sheetView>
  </sheetViews>
  <sheetFormatPr defaultRowHeight="12.75" x14ac:dyDescent="0.2"/>
  <cols>
    <col min="1" max="1" width="4.85546875" customWidth="1"/>
    <col min="2" max="2" width="42.7109375" customWidth="1"/>
    <col min="3" max="4" width="18.85546875" customWidth="1"/>
    <col min="14" max="14" width="17" customWidth="1"/>
    <col min="15" max="17" width="41.28515625" customWidth="1"/>
  </cols>
  <sheetData>
    <row r="1" spans="1:22" ht="18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8" x14ac:dyDescent="0.25">
      <c r="A2" s="3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3.5" thickBot="1" x14ac:dyDescent="0.25"/>
    <row r="4" spans="1:22" ht="21" customHeight="1" thickTop="1" thickBot="1" x14ac:dyDescent="0.25">
      <c r="A4" s="78"/>
      <c r="B4" s="79"/>
      <c r="C4" s="49" t="s">
        <v>156</v>
      </c>
      <c r="D4" s="50" t="s">
        <v>157</v>
      </c>
    </row>
    <row r="5" spans="1:22" ht="21" customHeight="1" thickTop="1" x14ac:dyDescent="0.2">
      <c r="A5" s="80">
        <v>1</v>
      </c>
      <c r="B5" s="81" t="s">
        <v>36</v>
      </c>
      <c r="C5" s="119"/>
      <c r="D5" s="120"/>
    </row>
    <row r="6" spans="1:22" ht="21" customHeight="1" x14ac:dyDescent="0.2">
      <c r="A6" s="82">
        <v>2</v>
      </c>
      <c r="B6" s="83" t="s">
        <v>38</v>
      </c>
      <c r="C6" s="119"/>
      <c r="D6" s="118"/>
    </row>
    <row r="7" spans="1:22" ht="21" customHeight="1" x14ac:dyDescent="0.2">
      <c r="A7" s="82">
        <v>3</v>
      </c>
      <c r="B7" s="83" t="s">
        <v>133</v>
      </c>
      <c r="C7" s="119"/>
      <c r="D7" s="118"/>
    </row>
    <row r="8" spans="1:22" ht="21" customHeight="1" x14ac:dyDescent="0.2">
      <c r="A8" s="82">
        <v>4</v>
      </c>
      <c r="B8" s="83" t="s">
        <v>37</v>
      </c>
      <c r="C8" s="119"/>
      <c r="D8" s="118"/>
    </row>
    <row r="9" spans="1:22" ht="21" customHeight="1" x14ac:dyDescent="0.2">
      <c r="A9" s="82"/>
      <c r="B9" s="84" t="s">
        <v>132</v>
      </c>
      <c r="C9" s="119"/>
      <c r="D9" s="118"/>
    </row>
    <row r="10" spans="1:22" ht="21" customHeight="1" x14ac:dyDescent="0.2">
      <c r="A10" s="82">
        <v>5</v>
      </c>
      <c r="B10" s="83" t="s">
        <v>2</v>
      </c>
      <c r="C10" s="119"/>
      <c r="D10" s="118"/>
    </row>
    <row r="11" spans="1:22" ht="21" customHeight="1" x14ac:dyDescent="0.2">
      <c r="A11" s="82"/>
      <c r="B11" s="84" t="s">
        <v>134</v>
      </c>
      <c r="C11" s="119"/>
      <c r="D11" s="118"/>
    </row>
    <row r="12" spans="1:22" ht="21" customHeight="1" x14ac:dyDescent="0.2">
      <c r="A12" s="82">
        <v>6</v>
      </c>
      <c r="B12" s="83" t="s">
        <v>3</v>
      </c>
      <c r="C12" s="119"/>
      <c r="D12" s="118"/>
    </row>
    <row r="13" spans="1:22" ht="21" customHeight="1" x14ac:dyDescent="0.2">
      <c r="A13" s="82">
        <v>7</v>
      </c>
      <c r="B13" s="83" t="s">
        <v>143</v>
      </c>
      <c r="C13" s="119"/>
      <c r="D13" s="118"/>
    </row>
    <row r="14" spans="1:22" ht="21" customHeight="1" x14ac:dyDescent="0.2">
      <c r="A14" s="82">
        <v>8</v>
      </c>
      <c r="B14" s="83" t="s">
        <v>4</v>
      </c>
      <c r="C14" s="119"/>
      <c r="D14" s="118"/>
    </row>
    <row r="15" spans="1:22" ht="21" customHeight="1" x14ac:dyDescent="0.2">
      <c r="A15" s="82">
        <v>9</v>
      </c>
      <c r="B15" s="83" t="s">
        <v>154</v>
      </c>
      <c r="C15" s="119"/>
      <c r="D15" s="118"/>
    </row>
    <row r="16" spans="1:22" ht="21" customHeight="1" x14ac:dyDescent="0.2">
      <c r="A16" s="82">
        <v>10</v>
      </c>
      <c r="B16" s="83" t="s">
        <v>39</v>
      </c>
      <c r="C16" s="121"/>
      <c r="D16" s="122"/>
    </row>
    <row r="17" spans="1:4" ht="21" customHeight="1" x14ac:dyDescent="0.2">
      <c r="A17" s="82"/>
      <c r="B17" s="84" t="s">
        <v>130</v>
      </c>
      <c r="C17" s="119"/>
      <c r="D17" s="118"/>
    </row>
    <row r="18" spans="1:4" ht="21" customHeight="1" thickBot="1" x14ac:dyDescent="0.25">
      <c r="A18" s="85"/>
      <c r="B18" s="86" t="s">
        <v>131</v>
      </c>
      <c r="C18" s="119"/>
      <c r="D18" s="118"/>
    </row>
    <row r="19" spans="1:4" ht="13.5" thickTop="1" x14ac:dyDescent="0.2"/>
  </sheetData>
  <phoneticPr fontId="52" type="noConversion"/>
  <pageMargins left="0.7" right="0.7" top="0.75" bottom="0.75" header="0.3" footer="0.3"/>
  <pageSetup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58"/>
  <sheetViews>
    <sheetView workbookViewId="0">
      <selection activeCell="D35" sqref="D35"/>
    </sheetView>
  </sheetViews>
  <sheetFormatPr defaultRowHeight="12.75" x14ac:dyDescent="0.2"/>
  <cols>
    <col min="1" max="1" width="25.42578125" style="124" customWidth="1"/>
    <col min="2" max="2" width="13.85546875" style="124" customWidth="1"/>
    <col min="3" max="3" width="13.42578125" style="124" customWidth="1"/>
    <col min="4" max="4" width="13.140625" style="124" customWidth="1"/>
    <col min="5" max="5" width="10.7109375" style="124" customWidth="1"/>
    <col min="6" max="6" width="19.28515625" style="124" customWidth="1"/>
    <col min="7" max="7" width="9.140625" style="124"/>
    <col min="8" max="8" width="13" style="124" customWidth="1"/>
    <col min="9" max="16" width="9.140625" style="124"/>
    <col min="17" max="17" width="9.85546875" style="124" customWidth="1"/>
    <col min="18" max="16384" width="9.140625" style="124"/>
  </cols>
  <sheetData>
    <row r="1" spans="1:17" ht="14.25" x14ac:dyDescent="0.2">
      <c r="A1" s="91" t="s">
        <v>111</v>
      </c>
      <c r="B1" s="92"/>
      <c r="C1" s="92"/>
      <c r="D1" s="92"/>
      <c r="E1" s="92"/>
      <c r="F1" s="92"/>
    </row>
    <row r="2" spans="1:17" ht="18.75" customHeight="1" x14ac:dyDescent="0.2">
      <c r="A2" s="91" t="s">
        <v>110</v>
      </c>
      <c r="B2" s="91"/>
      <c r="C2" s="91"/>
      <c r="D2" s="91"/>
      <c r="E2" s="91"/>
      <c r="F2" s="91"/>
    </row>
    <row r="3" spans="1:17" ht="15" customHeight="1" x14ac:dyDescent="0.2">
      <c r="A3" s="125" t="s">
        <v>44</v>
      </c>
      <c r="B3" s="221">
        <v>41</v>
      </c>
      <c r="C3" s="126"/>
      <c r="D3" s="126" t="s">
        <v>45</v>
      </c>
      <c r="E3" s="89" t="s">
        <v>46</v>
      </c>
      <c r="F3" s="89"/>
    </row>
    <row r="4" spans="1:17" ht="15" customHeight="1" thickBot="1" x14ac:dyDescent="0.25">
      <c r="A4" s="127" t="s">
        <v>47</v>
      </c>
      <c r="B4" s="107">
        <v>43444.447916666664</v>
      </c>
      <c r="C4" s="107"/>
      <c r="D4" s="127" t="s">
        <v>108</v>
      </c>
      <c r="E4" s="90" t="s">
        <v>171</v>
      </c>
      <c r="F4" s="90"/>
    </row>
    <row r="5" spans="1:17" s="133" customFormat="1" ht="15" customHeight="1" thickTop="1" x14ac:dyDescent="0.2">
      <c r="A5" s="128" t="s">
        <v>48</v>
      </c>
      <c r="B5" s="129"/>
      <c r="C5" s="130"/>
      <c r="D5" s="131" t="s">
        <v>49</v>
      </c>
      <c r="E5" s="129" t="s">
        <v>170</v>
      </c>
      <c r="F5" s="132"/>
      <c r="H5" s="133" t="s">
        <v>50</v>
      </c>
    </row>
    <row r="6" spans="1:17" s="133" customFormat="1" ht="15" customHeight="1" thickBot="1" x14ac:dyDescent="0.25">
      <c r="A6" s="134" t="s">
        <v>51</v>
      </c>
      <c r="B6" s="208">
        <f>4.621*(10^5)</f>
        <v>462100.00000000006</v>
      </c>
      <c r="C6" s="135" t="s">
        <v>52</v>
      </c>
      <c r="D6" s="136"/>
      <c r="E6" s="209">
        <f>$B$6*(10^6)/(10^9)</f>
        <v>462.10000000000008</v>
      </c>
      <c r="F6" s="137" t="s">
        <v>53</v>
      </c>
      <c r="H6" s="133" t="s">
        <v>50</v>
      </c>
    </row>
    <row r="7" spans="1:17" ht="15" customHeight="1" thickTop="1" x14ac:dyDescent="0.2">
      <c r="A7" s="138" t="s">
        <v>54</v>
      </c>
      <c r="B7" s="139"/>
      <c r="D7" s="140"/>
      <c r="E7" s="140"/>
      <c r="F7" s="141"/>
    </row>
    <row r="8" spans="1:17" ht="15" customHeight="1" x14ac:dyDescent="0.25">
      <c r="A8" s="138" t="s">
        <v>55</v>
      </c>
      <c r="B8" s="142" t="s">
        <v>50</v>
      </c>
      <c r="C8" s="213">
        <v>1</v>
      </c>
      <c r="D8" s="142" t="s">
        <v>56</v>
      </c>
      <c r="E8" s="140" t="s">
        <v>50</v>
      </c>
      <c r="F8" s="141"/>
    </row>
    <row r="9" spans="1:17" ht="15" customHeight="1" thickBot="1" x14ac:dyDescent="0.25">
      <c r="A9" s="143" t="s">
        <v>57</v>
      </c>
      <c r="B9" s="144"/>
      <c r="C9" s="145"/>
      <c r="D9" s="144"/>
      <c r="E9" s="144"/>
      <c r="F9" s="146"/>
    </row>
    <row r="10" spans="1:17" ht="13.5" thickTop="1" x14ac:dyDescent="0.2">
      <c r="A10" s="147" t="s">
        <v>58</v>
      </c>
      <c r="B10" s="148"/>
      <c r="C10" s="148"/>
      <c r="D10" s="148"/>
      <c r="E10" s="148"/>
      <c r="F10" s="141"/>
      <c r="I10" s="235" t="s">
        <v>109</v>
      </c>
    </row>
    <row r="11" spans="1:17" ht="14.25" thickBot="1" x14ac:dyDescent="0.3">
      <c r="A11" s="149" t="s">
        <v>59</v>
      </c>
      <c r="B11" s="222">
        <v>21.6</v>
      </c>
      <c r="C11" s="150"/>
      <c r="D11" s="222">
        <v>763.2</v>
      </c>
      <c r="E11" s="151" t="s">
        <v>60</v>
      </c>
      <c r="F11" s="207">
        <f>IF(B11="","",((273.15+$B$11)/295.15)*760/$D$11)</f>
        <v>0.99445756714686173</v>
      </c>
    </row>
    <row r="12" spans="1:17" ht="16.5" customHeight="1" thickTop="1" x14ac:dyDescent="0.2">
      <c r="A12" s="152" t="s">
        <v>50</v>
      </c>
      <c r="B12" s="93"/>
      <c r="C12" s="94"/>
      <c r="D12" s="148" t="s">
        <v>61</v>
      </c>
      <c r="E12" s="148"/>
      <c r="F12" s="153"/>
      <c r="I12" s="95" t="s">
        <v>62</v>
      </c>
      <c r="J12" s="95"/>
      <c r="K12" s="95"/>
      <c r="L12" s="95"/>
      <c r="M12" s="95"/>
      <c r="N12" s="95"/>
      <c r="O12" s="95"/>
      <c r="Q12" s="231" t="s">
        <v>63</v>
      </c>
    </row>
    <row r="13" spans="1:17" s="159" customFormat="1" ht="21" customHeight="1" x14ac:dyDescent="0.2">
      <c r="A13" s="154" t="s">
        <v>64</v>
      </c>
      <c r="B13" s="285"/>
      <c r="C13" s="156" t="s">
        <v>65</v>
      </c>
      <c r="D13" s="155" t="s">
        <v>66</v>
      </c>
      <c r="E13" s="157" t="s">
        <v>65</v>
      </c>
      <c r="F13" s="158"/>
      <c r="I13" s="231">
        <v>247</v>
      </c>
      <c r="J13" s="231">
        <v>248</v>
      </c>
      <c r="K13" s="231">
        <v>249</v>
      </c>
      <c r="L13" s="231">
        <v>250</v>
      </c>
      <c r="M13" s="231">
        <v>251</v>
      </c>
      <c r="N13" s="231">
        <v>252</v>
      </c>
      <c r="O13" s="231">
        <v>253</v>
      </c>
      <c r="Q13" s="231">
        <v>254</v>
      </c>
    </row>
    <row r="14" spans="1:17" ht="18" customHeight="1" x14ac:dyDescent="0.2">
      <c r="A14" s="160" t="s">
        <v>67</v>
      </c>
      <c r="B14" s="286" t="s">
        <v>50</v>
      </c>
      <c r="C14" s="287"/>
      <c r="D14" s="105">
        <v>250</v>
      </c>
      <c r="E14" s="224">
        <v>-35.359000000000002</v>
      </c>
      <c r="F14" s="141"/>
      <c r="I14" s="233">
        <v>-35.308999999999997</v>
      </c>
      <c r="J14" s="233">
        <v>-35.337000000000003</v>
      </c>
      <c r="K14" s="233">
        <v>-35.344999999999999</v>
      </c>
      <c r="L14" s="233">
        <v>-35.354999999999997</v>
      </c>
      <c r="M14" s="233">
        <v>-35.359000000000002</v>
      </c>
      <c r="N14" s="233">
        <v>-35.357999999999997</v>
      </c>
      <c r="O14" s="233">
        <v>-35.353999999999999</v>
      </c>
      <c r="Q14" s="233"/>
    </row>
    <row r="15" spans="1:17" ht="15.75" customHeight="1" x14ac:dyDescent="0.2">
      <c r="A15" s="223">
        <v>0</v>
      </c>
      <c r="B15" s="286"/>
      <c r="C15" s="288"/>
      <c r="D15" s="106"/>
      <c r="E15" s="224">
        <v>-35.356000000000002</v>
      </c>
      <c r="F15" s="141"/>
      <c r="I15" s="233">
        <v>-35.307000000000002</v>
      </c>
      <c r="J15" s="233">
        <v>-35.338000000000001</v>
      </c>
      <c r="K15" s="233">
        <v>-35.345999999999997</v>
      </c>
      <c r="L15" s="233">
        <v>-35.356000000000002</v>
      </c>
      <c r="M15" s="233">
        <v>-35.356000000000002</v>
      </c>
      <c r="N15" s="233">
        <v>-35.359000000000002</v>
      </c>
      <c r="O15" s="234">
        <v>-35.353999999999999</v>
      </c>
      <c r="Q15" s="233"/>
    </row>
    <row r="16" spans="1:17" ht="17.25" customHeight="1" x14ac:dyDescent="0.2">
      <c r="A16" s="160" t="s">
        <v>68</v>
      </c>
      <c r="B16" s="286"/>
      <c r="C16" s="288"/>
      <c r="D16" s="106"/>
      <c r="E16" s="224">
        <v>-35.36</v>
      </c>
      <c r="F16" s="141"/>
      <c r="I16" s="233">
        <v>-35.308</v>
      </c>
      <c r="J16" s="233">
        <v>-35.335000000000001</v>
      </c>
      <c r="K16" s="233">
        <v>-35.347999999999999</v>
      </c>
      <c r="L16" s="233">
        <v>-35.356000000000002</v>
      </c>
      <c r="M16" s="233">
        <v>-35.36</v>
      </c>
      <c r="N16" s="233">
        <v>-35.359000000000002</v>
      </c>
      <c r="O16" s="233">
        <v>-35.353999999999999</v>
      </c>
      <c r="Q16" s="233"/>
    </row>
    <row r="17" spans="1:17" ht="16.5" customHeight="1" x14ac:dyDescent="0.2">
      <c r="A17" s="223">
        <v>0</v>
      </c>
      <c r="B17" s="286"/>
      <c r="C17" s="288"/>
      <c r="D17" s="106"/>
      <c r="E17" s="224">
        <v>-35.363</v>
      </c>
      <c r="F17" s="141"/>
      <c r="I17" s="233">
        <v>-35.308999999999997</v>
      </c>
      <c r="J17" s="233">
        <v>-35.335999999999999</v>
      </c>
      <c r="K17" s="233">
        <v>-35.347000000000001</v>
      </c>
      <c r="L17" s="233">
        <v>-35.353999999999999</v>
      </c>
      <c r="M17" s="233">
        <v>-35.363</v>
      </c>
      <c r="N17" s="233">
        <v>-35.36</v>
      </c>
      <c r="O17" s="233">
        <v>-35.356000000000002</v>
      </c>
      <c r="Q17" s="233"/>
    </row>
    <row r="18" spans="1:17" ht="15" customHeight="1" x14ac:dyDescent="0.2">
      <c r="A18" s="162" t="s">
        <v>69</v>
      </c>
      <c r="B18" s="286"/>
      <c r="C18" s="288"/>
      <c r="D18" s="106"/>
      <c r="E18" s="224">
        <v>-35.359000000000002</v>
      </c>
      <c r="F18" s="141"/>
      <c r="I18" s="233">
        <v>-35.307000000000002</v>
      </c>
      <c r="J18" s="233">
        <v>-35.337000000000003</v>
      </c>
      <c r="K18" s="233">
        <v>-35.347999999999999</v>
      </c>
      <c r="L18" s="233">
        <v>-35.356999999999999</v>
      </c>
      <c r="M18" s="233">
        <v>-35.359000000000002</v>
      </c>
      <c r="N18" s="233">
        <v>-35.359000000000002</v>
      </c>
      <c r="O18" s="233">
        <v>-35.354999999999997</v>
      </c>
      <c r="Q18" s="233"/>
    </row>
    <row r="19" spans="1:17" ht="15" customHeight="1" x14ac:dyDescent="0.2">
      <c r="A19" s="216">
        <f>(A15+A17)/2</f>
        <v>0</v>
      </c>
      <c r="B19" s="286"/>
      <c r="C19" s="288"/>
      <c r="D19" s="106"/>
      <c r="E19" s="224">
        <v>-35.357999999999997</v>
      </c>
      <c r="F19" s="141"/>
      <c r="I19" s="233">
        <v>-35.311</v>
      </c>
      <c r="J19" s="233">
        <v>-35.335999999999999</v>
      </c>
      <c r="K19" s="233">
        <v>-35.344999999999999</v>
      </c>
      <c r="L19" s="233">
        <v>-35.356999999999999</v>
      </c>
      <c r="M19" s="233">
        <v>-35.357999999999997</v>
      </c>
      <c r="N19" s="233">
        <v>-35.359000000000002</v>
      </c>
      <c r="O19" s="233">
        <v>-35.350999999999999</v>
      </c>
      <c r="Q19" s="233"/>
    </row>
    <row r="20" spans="1:17" ht="15" customHeight="1" thickBot="1" x14ac:dyDescent="0.3">
      <c r="A20" s="163"/>
      <c r="B20" s="289"/>
      <c r="C20" s="164" t="s">
        <v>50</v>
      </c>
      <c r="D20" s="284" t="s">
        <v>70</v>
      </c>
      <c r="E20" s="215">
        <f>IF(E14="","",AVERAGE(E14:E19))</f>
        <v>-35.359166666666667</v>
      </c>
      <c r="F20" s="146"/>
      <c r="I20" s="233"/>
      <c r="J20" s="233">
        <v>-35.335000000000001</v>
      </c>
      <c r="K20" s="233">
        <v>-35.345999999999997</v>
      </c>
      <c r="L20" s="233">
        <v>-35.356000000000002</v>
      </c>
      <c r="M20" s="233">
        <v>-35.359000000000002</v>
      </c>
      <c r="N20" s="233">
        <v>-35.36</v>
      </c>
      <c r="O20" s="233"/>
      <c r="Q20" s="233"/>
    </row>
    <row r="21" spans="1:17" ht="13.5" thickTop="1" x14ac:dyDescent="0.2">
      <c r="A21" s="165" t="s">
        <v>71</v>
      </c>
      <c r="F21" s="166" t="s">
        <v>70</v>
      </c>
      <c r="I21" s="233"/>
      <c r="J21" s="233"/>
      <c r="K21" s="233">
        <v>-35.344000000000001</v>
      </c>
      <c r="L21" s="233">
        <v>-35.353999999999999</v>
      </c>
      <c r="M21" s="233">
        <v>-35.36</v>
      </c>
      <c r="N21" s="233">
        <v>-35.356999999999999</v>
      </c>
      <c r="O21" s="233"/>
      <c r="Q21" s="233"/>
    </row>
    <row r="22" spans="1:17" ht="15" customHeight="1" x14ac:dyDescent="0.25">
      <c r="A22" s="167" t="s">
        <v>72</v>
      </c>
      <c r="B22" s="225"/>
      <c r="C22" s="225"/>
      <c r="D22" s="225"/>
      <c r="E22" s="168" t="s">
        <v>73</v>
      </c>
      <c r="F22" s="169" t="str">
        <f>IF(B22="","",AVERAGE(B22:D22))</f>
        <v/>
      </c>
      <c r="I22" s="233"/>
      <c r="J22" s="233"/>
      <c r="K22" s="233">
        <v>-35.347999999999999</v>
      </c>
      <c r="L22" s="233">
        <v>-35.354999999999997</v>
      </c>
      <c r="M22" s="233">
        <v>-35.359000000000002</v>
      </c>
      <c r="N22" s="233">
        <v>-35.356999999999999</v>
      </c>
      <c r="O22" s="233"/>
      <c r="Q22" s="233"/>
    </row>
    <row r="23" spans="1:17" ht="15.75" customHeight="1" x14ac:dyDescent="0.25">
      <c r="A23" s="167" t="s">
        <v>74</v>
      </c>
      <c r="B23" s="225"/>
      <c r="C23" s="225"/>
      <c r="D23" s="225"/>
      <c r="E23" s="168" t="s">
        <v>73</v>
      </c>
      <c r="F23" s="169" t="str">
        <f>IF(B23="","",AVERAGE(B23:D23))</f>
        <v/>
      </c>
      <c r="I23" s="233"/>
      <c r="J23" s="233"/>
      <c r="K23" s="233">
        <v>-35.345999999999997</v>
      </c>
      <c r="L23" s="233"/>
      <c r="M23" s="233">
        <v>-35.362000000000002</v>
      </c>
      <c r="N23" s="233">
        <v>-35.359000000000002</v>
      </c>
      <c r="O23" s="233"/>
      <c r="Q23" s="233"/>
    </row>
    <row r="24" spans="1:17" ht="16.5" customHeight="1" thickBot="1" x14ac:dyDescent="0.25">
      <c r="A24" s="170" t="s">
        <v>75</v>
      </c>
      <c r="B24" s="145"/>
      <c r="C24" s="214">
        <v>1.0009170446377673</v>
      </c>
      <c r="D24" s="145" t="s">
        <v>50</v>
      </c>
      <c r="E24" s="145"/>
      <c r="F24" s="146"/>
      <c r="I24" s="233"/>
      <c r="J24" s="233"/>
      <c r="K24" s="233">
        <v>-35.347000000000001</v>
      </c>
      <c r="L24" s="233"/>
      <c r="M24" s="233"/>
      <c r="N24" s="233"/>
      <c r="O24" s="233"/>
      <c r="Q24" s="233"/>
    </row>
    <row r="25" spans="1:17" ht="18" customHeight="1" thickTop="1" x14ac:dyDescent="0.3">
      <c r="A25" s="171" t="s">
        <v>76</v>
      </c>
      <c r="F25" s="141"/>
      <c r="I25" s="232">
        <f t="shared" ref="I25:O25" si="0">IF(I14="","",AVERAGE(I14:I24))</f>
        <v>-35.308500000000002</v>
      </c>
      <c r="J25" s="232">
        <f t="shared" si="0"/>
        <v>-35.336285714285715</v>
      </c>
      <c r="K25" s="232">
        <f t="shared" si="0"/>
        <v>-35.346363636363634</v>
      </c>
      <c r="L25" s="232">
        <f t="shared" si="0"/>
        <v>-35.355555555555554</v>
      </c>
      <c r="M25" s="232">
        <f t="shared" si="0"/>
        <v>-35.359500000000004</v>
      </c>
      <c r="N25" s="232">
        <f t="shared" si="0"/>
        <v>-35.358699999999992</v>
      </c>
      <c r="O25" s="232">
        <f t="shared" si="0"/>
        <v>-35.353999999999999</v>
      </c>
      <c r="Q25" s="232" t="str">
        <f>IF(Q14="","",AVERAGE(Q14:Q24))</f>
        <v/>
      </c>
    </row>
    <row r="26" spans="1:17" x14ac:dyDescent="0.2">
      <c r="A26" s="172" t="s">
        <v>77</v>
      </c>
      <c r="B26" s="173" t="s">
        <v>78</v>
      </c>
      <c r="C26" s="167"/>
      <c r="D26" s="167"/>
      <c r="E26" s="174">
        <f>IF(E20="","",$E$20-$A$19)</f>
        <v>-35.359166666666667</v>
      </c>
      <c r="F26" s="141"/>
    </row>
    <row r="27" spans="1:17" ht="13.5" x14ac:dyDescent="0.25">
      <c r="A27" s="172" t="s">
        <v>79</v>
      </c>
      <c r="B27" s="173" t="s">
        <v>80</v>
      </c>
      <c r="C27" s="167"/>
      <c r="D27" s="167"/>
      <c r="E27" s="175">
        <f>F11</f>
        <v>0.99445756714686173</v>
      </c>
      <c r="F27" s="141"/>
    </row>
    <row r="28" spans="1:17" ht="13.5" x14ac:dyDescent="0.25">
      <c r="A28" s="172" t="s">
        <v>81</v>
      </c>
      <c r="B28" s="173" t="s">
        <v>82</v>
      </c>
      <c r="C28" s="167"/>
      <c r="D28" s="167"/>
      <c r="E28" s="174">
        <f>$C$8</f>
        <v>1</v>
      </c>
      <c r="F28" s="141"/>
    </row>
    <row r="29" spans="1:17" x14ac:dyDescent="0.2">
      <c r="A29" s="172" t="s">
        <v>83</v>
      </c>
      <c r="B29" s="173" t="s">
        <v>84</v>
      </c>
      <c r="C29" s="167"/>
      <c r="D29" s="167"/>
      <c r="E29" s="174">
        <f>E6</f>
        <v>462.10000000000008</v>
      </c>
      <c r="F29" s="141"/>
    </row>
    <row r="30" spans="1:17" ht="13.5" x14ac:dyDescent="0.25">
      <c r="A30" s="172" t="s">
        <v>85</v>
      </c>
      <c r="B30" s="173" t="s">
        <v>86</v>
      </c>
      <c r="C30" s="167"/>
      <c r="D30" s="176"/>
      <c r="E30" s="177">
        <f>C24</f>
        <v>1.0009170446377673</v>
      </c>
      <c r="F30" s="141"/>
    </row>
    <row r="31" spans="1:17" ht="16.5" x14ac:dyDescent="0.25">
      <c r="A31" s="178" t="s">
        <v>87</v>
      </c>
      <c r="B31" s="217">
        <f>IF(E26="","",ABS(E26*E27*E28*E29*E30))</f>
        <v>16263.811472495388</v>
      </c>
      <c r="C31" s="179" t="s">
        <v>88</v>
      </c>
      <c r="D31" s="180" t="s">
        <v>1</v>
      </c>
      <c r="E31" s="96">
        <f>B4</f>
        <v>43444.447916666664</v>
      </c>
      <c r="F31" s="97"/>
    </row>
    <row r="32" spans="1:17" ht="13.5" thickBot="1" x14ac:dyDescent="0.25">
      <c r="A32" s="181" t="s">
        <v>89</v>
      </c>
      <c r="B32" s="182">
        <f>IF(B31="","",B31/110)</f>
        <v>147.85283156813989</v>
      </c>
      <c r="C32" s="183" t="s">
        <v>90</v>
      </c>
      <c r="D32" s="218">
        <f>IF(B31="","",$B$31/4070)</f>
        <v>3.9960224748145916</v>
      </c>
      <c r="E32" s="184" t="s">
        <v>91</v>
      </c>
      <c r="F32" s="185" t="s">
        <v>92</v>
      </c>
    </row>
    <row r="33" spans="1:6" ht="13.5" customHeight="1" thickTop="1" x14ac:dyDescent="0.2">
      <c r="A33" s="186" t="s">
        <v>93</v>
      </c>
      <c r="B33" s="187" t="s">
        <v>50</v>
      </c>
      <c r="C33" s="188" t="s">
        <v>50</v>
      </c>
      <c r="F33" s="141"/>
    </row>
    <row r="34" spans="1:6" x14ac:dyDescent="0.2">
      <c r="A34" s="189" t="s">
        <v>94</v>
      </c>
      <c r="B34" s="226">
        <v>415.5</v>
      </c>
      <c r="C34" s="190"/>
      <c r="D34" s="98" t="s">
        <v>95</v>
      </c>
      <c r="E34" s="99"/>
      <c r="F34" s="100"/>
    </row>
    <row r="35" spans="1:6" x14ac:dyDescent="0.2">
      <c r="A35" s="191" t="s">
        <v>123</v>
      </c>
      <c r="B35" s="227">
        <v>43335.118750000001</v>
      </c>
      <c r="C35" s="192"/>
      <c r="D35" s="193"/>
      <c r="E35" s="194"/>
      <c r="F35" s="195"/>
    </row>
    <row r="36" spans="1:6" x14ac:dyDescent="0.2">
      <c r="A36" s="191" t="s">
        <v>96</v>
      </c>
      <c r="B36" s="219">
        <f>IF(B35="","",B35-(5/24))</f>
        <v>43334.910416666666</v>
      </c>
      <c r="C36" s="196"/>
      <c r="D36" s="102"/>
      <c r="E36" s="99"/>
      <c r="F36" s="100"/>
    </row>
    <row r="37" spans="1:6" ht="15.75" customHeight="1" thickBot="1" x14ac:dyDescent="0.25">
      <c r="A37" s="197" t="s">
        <v>97</v>
      </c>
      <c r="B37" s="220">
        <f>IF(B36="","",EXP(-0.693*(B4-B36)/73.831))</f>
        <v>0.35766733303839487</v>
      </c>
      <c r="C37" s="198" t="s">
        <v>50</v>
      </c>
      <c r="D37" s="199">
        <f>IF(B37="","",B34*B37*110)</f>
        <v>16347.185456519839</v>
      </c>
      <c r="E37" s="103" t="s">
        <v>98</v>
      </c>
      <c r="F37" s="104"/>
    </row>
    <row r="38" spans="1:6" ht="16.5" thickTop="1" x14ac:dyDescent="0.2">
      <c r="A38" s="186" t="s">
        <v>99</v>
      </c>
      <c r="D38" s="228">
        <v>16340</v>
      </c>
      <c r="E38" s="124" t="s">
        <v>100</v>
      </c>
      <c r="F38" s="141" t="s">
        <v>50</v>
      </c>
    </row>
    <row r="39" spans="1:6" ht="15.75" x14ac:dyDescent="0.2">
      <c r="A39" s="186" t="s">
        <v>101</v>
      </c>
      <c r="D39" s="161">
        <f>D37</f>
        <v>16347.185456519839</v>
      </c>
      <c r="E39" s="124" t="s">
        <v>100</v>
      </c>
      <c r="F39" s="141"/>
    </row>
    <row r="40" spans="1:6" ht="15.75" x14ac:dyDescent="0.2">
      <c r="A40" s="186" t="s">
        <v>102</v>
      </c>
      <c r="C40" s="200" t="s">
        <v>50</v>
      </c>
      <c r="D40" s="161">
        <f>B31</f>
        <v>16263.811472495388</v>
      </c>
      <c r="E40" s="124" t="s">
        <v>100</v>
      </c>
      <c r="F40" s="141"/>
    </row>
    <row r="41" spans="1:6" ht="15.75" x14ac:dyDescent="0.25">
      <c r="A41" s="147" t="s">
        <v>103</v>
      </c>
      <c r="D41" s="210">
        <f>IF(D40="","",100*(D40-D38)/D40)</f>
        <v>-0.4684543203999757</v>
      </c>
      <c r="E41" s="211" t="s">
        <v>104</v>
      </c>
      <c r="F41" s="236" t="str">
        <f>IF(D41="","",IF(ABS(D41)&lt;=2,"Acceptable","Not-Acceptable"))</f>
        <v>Acceptable</v>
      </c>
    </row>
    <row r="42" spans="1:6" ht="15.75" x14ac:dyDescent="0.25">
      <c r="A42" s="147" t="s">
        <v>105</v>
      </c>
      <c r="B42" s="201"/>
      <c r="C42" s="201"/>
      <c r="D42" s="212">
        <f>IF(D40="","",100*(D40-D39)/D40)</f>
        <v>-0.51263496361507233</v>
      </c>
      <c r="E42" s="211" t="s">
        <v>104</v>
      </c>
      <c r="F42" s="236" t="str">
        <f>IF(D42="","",IF(ABS(D42)&lt;=2,"Acceptable","Not-Acceptable"))</f>
        <v>Acceptable</v>
      </c>
    </row>
    <row r="43" spans="1:6" x14ac:dyDescent="0.2">
      <c r="A43" s="202"/>
      <c r="B43" s="201"/>
      <c r="C43" s="201"/>
      <c r="D43" s="201"/>
      <c r="F43" s="141"/>
    </row>
    <row r="44" spans="1:6" ht="13.5" thickBot="1" x14ac:dyDescent="0.25">
      <c r="A44" s="203" t="s">
        <v>50</v>
      </c>
      <c r="B44" s="230"/>
      <c r="C44" s="204"/>
      <c r="D44" s="204"/>
      <c r="E44" s="145"/>
      <c r="F44" s="146"/>
    </row>
    <row r="45" spans="1:6" ht="13.5" thickTop="1" x14ac:dyDescent="0.2">
      <c r="A45" s="201"/>
      <c r="B45" s="201"/>
      <c r="C45" s="201"/>
      <c r="D45" s="201"/>
    </row>
    <row r="46" spans="1:6" x14ac:dyDescent="0.2">
      <c r="A46" s="201" t="s">
        <v>106</v>
      </c>
      <c r="B46" s="101" t="s">
        <v>174</v>
      </c>
      <c r="C46" s="101"/>
      <c r="D46" s="201"/>
      <c r="E46" s="124" t="s">
        <v>107</v>
      </c>
      <c r="F46" s="229">
        <v>43444</v>
      </c>
    </row>
    <row r="47" spans="1:6" ht="14.25" x14ac:dyDescent="0.2">
      <c r="A47" s="205"/>
    </row>
    <row r="48" spans="1:6" x14ac:dyDescent="0.2">
      <c r="A48" s="148"/>
    </row>
    <row r="49" spans="1:2" x14ac:dyDescent="0.2">
      <c r="A49" s="148"/>
    </row>
    <row r="50" spans="1:2" x14ac:dyDescent="0.2">
      <c r="A50" s="148"/>
    </row>
    <row r="51" spans="1:2" x14ac:dyDescent="0.2">
      <c r="A51" s="148"/>
    </row>
    <row r="52" spans="1:2" x14ac:dyDescent="0.2">
      <c r="A52" s="148"/>
    </row>
    <row r="58" spans="1:2" x14ac:dyDescent="0.2">
      <c r="B58" s="206"/>
    </row>
  </sheetData>
  <mergeCells count="13">
    <mergeCell ref="D36:F36"/>
    <mergeCell ref="E37:F37"/>
    <mergeCell ref="E31:F31"/>
    <mergeCell ref="D14:D19"/>
    <mergeCell ref="I12:O12"/>
    <mergeCell ref="A1:F1"/>
    <mergeCell ref="A2:F2"/>
    <mergeCell ref="B4:C4"/>
    <mergeCell ref="B12:C12"/>
    <mergeCell ref="E3:F3"/>
    <mergeCell ref="E4:F4"/>
    <mergeCell ref="D34:F34"/>
    <mergeCell ref="B46:C46"/>
  </mergeCells>
  <phoneticPr fontId="52" type="noConversion"/>
  <pageMargins left="0.70866141732283472" right="0.70866141732283472" top="0.74803149606299213" bottom="0.74803149606299213" header="0.31496062992125984" footer="0.31496062992125984"/>
  <pageSetup scale="92" fitToWidth="2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58"/>
  <sheetViews>
    <sheetView tabSelected="1" zoomScaleNormal="100" workbookViewId="0">
      <selection activeCell="H37" sqref="H37"/>
    </sheetView>
  </sheetViews>
  <sheetFormatPr defaultRowHeight="12.75" x14ac:dyDescent="0.2"/>
  <cols>
    <col min="1" max="1" width="25.42578125" style="124" customWidth="1"/>
    <col min="2" max="2" width="13.85546875" style="124" customWidth="1"/>
    <col min="3" max="3" width="13.42578125" style="124" customWidth="1"/>
    <col min="4" max="4" width="13.140625" style="124" customWidth="1"/>
    <col min="5" max="5" width="10.7109375" style="124" customWidth="1"/>
    <col min="6" max="6" width="19.28515625" style="124" customWidth="1"/>
    <col min="7" max="7" width="9.140625" style="124"/>
    <col min="8" max="8" width="13" style="124" customWidth="1"/>
    <col min="9" max="16" width="9.140625" style="124"/>
    <col min="17" max="17" width="9.85546875" style="124" customWidth="1"/>
    <col min="18" max="16384" width="9.140625" style="124"/>
  </cols>
  <sheetData>
    <row r="1" spans="1:17" ht="14.25" x14ac:dyDescent="0.2">
      <c r="A1" s="91" t="s">
        <v>111</v>
      </c>
      <c r="B1" s="92"/>
      <c r="C1" s="92"/>
      <c r="D1" s="92"/>
      <c r="E1" s="92"/>
      <c r="F1" s="92"/>
    </row>
    <row r="2" spans="1:17" ht="18.75" customHeight="1" x14ac:dyDescent="0.2">
      <c r="A2" s="91" t="s">
        <v>110</v>
      </c>
      <c r="B2" s="91"/>
      <c r="C2" s="91"/>
      <c r="D2" s="91"/>
      <c r="E2" s="91"/>
      <c r="F2" s="91"/>
    </row>
    <row r="3" spans="1:17" ht="15" customHeight="1" x14ac:dyDescent="0.2">
      <c r="A3" s="125" t="s">
        <v>44</v>
      </c>
      <c r="B3" s="221">
        <v>42</v>
      </c>
      <c r="C3" s="126"/>
      <c r="D3" s="126" t="s">
        <v>45</v>
      </c>
      <c r="E3" s="89" t="s">
        <v>46</v>
      </c>
      <c r="F3" s="89"/>
    </row>
    <row r="4" spans="1:17" ht="15" customHeight="1" thickBot="1" x14ac:dyDescent="0.25">
      <c r="A4" s="127" t="s">
        <v>47</v>
      </c>
      <c r="B4" s="107">
        <v>43444.620138888888</v>
      </c>
      <c r="C4" s="107"/>
      <c r="D4" s="127" t="s">
        <v>108</v>
      </c>
      <c r="E4" s="90" t="s">
        <v>175</v>
      </c>
      <c r="F4" s="90"/>
    </row>
    <row r="5" spans="1:17" s="133" customFormat="1" ht="15" customHeight="1" thickTop="1" x14ac:dyDescent="0.2">
      <c r="A5" s="128" t="s">
        <v>48</v>
      </c>
      <c r="B5" s="129"/>
      <c r="C5" s="130"/>
      <c r="D5" s="131" t="s">
        <v>49</v>
      </c>
      <c r="E5" s="129" t="s">
        <v>170</v>
      </c>
      <c r="F5" s="132"/>
      <c r="H5" s="133" t="s">
        <v>50</v>
      </c>
    </row>
    <row r="6" spans="1:17" s="133" customFormat="1" ht="15" customHeight="1" thickBot="1" x14ac:dyDescent="0.25">
      <c r="A6" s="134" t="s">
        <v>51</v>
      </c>
      <c r="B6" s="208">
        <f>4.621*(10^5)</f>
        <v>462100.00000000006</v>
      </c>
      <c r="C6" s="135" t="s">
        <v>52</v>
      </c>
      <c r="D6" s="136"/>
      <c r="E6" s="209">
        <f>$B$6*(10^6)/(10^9)</f>
        <v>462.10000000000008</v>
      </c>
      <c r="F6" s="137" t="s">
        <v>53</v>
      </c>
      <c r="H6" s="133" t="s">
        <v>50</v>
      </c>
    </row>
    <row r="7" spans="1:17" ht="15" customHeight="1" thickTop="1" x14ac:dyDescent="0.2">
      <c r="A7" s="138" t="s">
        <v>54</v>
      </c>
      <c r="B7" s="139"/>
      <c r="D7" s="140"/>
      <c r="E7" s="140"/>
      <c r="F7" s="141"/>
    </row>
    <row r="8" spans="1:17" ht="15" customHeight="1" x14ac:dyDescent="0.25">
      <c r="A8" s="138" t="s">
        <v>55</v>
      </c>
      <c r="B8" s="142" t="s">
        <v>50</v>
      </c>
      <c r="C8" s="213">
        <v>1</v>
      </c>
      <c r="D8" s="142" t="s">
        <v>56</v>
      </c>
      <c r="E8" s="140" t="s">
        <v>50</v>
      </c>
      <c r="F8" s="141"/>
    </row>
    <row r="9" spans="1:17" ht="15" customHeight="1" thickBot="1" x14ac:dyDescent="0.25">
      <c r="A9" s="143" t="s">
        <v>57</v>
      </c>
      <c r="B9" s="144"/>
      <c r="C9" s="145"/>
      <c r="D9" s="144"/>
      <c r="E9" s="144"/>
      <c r="F9" s="146"/>
    </row>
    <row r="10" spans="1:17" ht="13.5" thickTop="1" x14ac:dyDescent="0.2">
      <c r="A10" s="147" t="s">
        <v>58</v>
      </c>
      <c r="B10" s="148"/>
      <c r="C10" s="148"/>
      <c r="D10" s="148"/>
      <c r="E10" s="148"/>
      <c r="F10" s="141"/>
      <c r="I10" s="235" t="s">
        <v>109</v>
      </c>
    </row>
    <row r="11" spans="1:17" ht="14.25" thickBot="1" x14ac:dyDescent="0.3">
      <c r="A11" s="149" t="s">
        <v>59</v>
      </c>
      <c r="B11" s="222">
        <v>21.8</v>
      </c>
      <c r="C11" s="150"/>
      <c r="D11" s="222">
        <v>762.2</v>
      </c>
      <c r="E11" s="151" t="s">
        <v>60</v>
      </c>
      <c r="F11" s="207">
        <f>IF(B11="","",((273.15+$B$11)/295.15)*760/$D$11)</f>
        <v>0.99643795279879621</v>
      </c>
    </row>
    <row r="12" spans="1:17" ht="16.5" customHeight="1" thickTop="1" x14ac:dyDescent="0.2">
      <c r="A12" s="152" t="s">
        <v>50</v>
      </c>
      <c r="B12" s="93"/>
      <c r="C12" s="94"/>
      <c r="D12" s="148" t="s">
        <v>61</v>
      </c>
      <c r="E12" s="148"/>
      <c r="F12" s="153"/>
      <c r="I12" s="95" t="s">
        <v>62</v>
      </c>
      <c r="J12" s="95"/>
      <c r="K12" s="95"/>
      <c r="L12" s="95"/>
      <c r="M12" s="95"/>
      <c r="N12" s="95"/>
      <c r="O12" s="95"/>
      <c r="Q12" s="231" t="s">
        <v>63</v>
      </c>
    </row>
    <row r="13" spans="1:17" s="159" customFormat="1" ht="21" customHeight="1" x14ac:dyDescent="0.2">
      <c r="A13" s="154" t="s">
        <v>64</v>
      </c>
      <c r="B13" s="285"/>
      <c r="C13" s="156" t="s">
        <v>65</v>
      </c>
      <c r="D13" s="155" t="s">
        <v>66</v>
      </c>
      <c r="E13" s="157" t="s">
        <v>65</v>
      </c>
      <c r="F13" s="158"/>
      <c r="I13" s="231">
        <v>247</v>
      </c>
      <c r="J13" s="231">
        <v>248</v>
      </c>
      <c r="K13" s="231">
        <v>249</v>
      </c>
      <c r="L13" s="231">
        <v>250</v>
      </c>
      <c r="M13" s="231">
        <v>251</v>
      </c>
      <c r="N13" s="231">
        <v>252</v>
      </c>
      <c r="O13" s="231">
        <v>253</v>
      </c>
      <c r="Q13" s="231">
        <v>254</v>
      </c>
    </row>
    <row r="14" spans="1:17" ht="18" customHeight="1" x14ac:dyDescent="0.2">
      <c r="A14" s="160" t="s">
        <v>67</v>
      </c>
      <c r="B14" s="286" t="s">
        <v>50</v>
      </c>
      <c r="C14" s="287"/>
      <c r="D14" s="105">
        <v>251</v>
      </c>
      <c r="E14" s="224">
        <v>-80.369</v>
      </c>
      <c r="F14" s="141"/>
      <c r="I14" s="233">
        <v>-79.900000000000006</v>
      </c>
      <c r="J14" s="233">
        <v>-80.313000000000002</v>
      </c>
      <c r="K14" s="233">
        <v>-80.334000000000003</v>
      </c>
      <c r="L14" s="233">
        <v>-80.356999999999999</v>
      </c>
      <c r="M14" s="233">
        <v>-80.375</v>
      </c>
      <c r="N14" s="233">
        <v>-80.37</v>
      </c>
      <c r="O14" s="233">
        <v>-80.361000000000004</v>
      </c>
      <c r="Q14" s="233"/>
    </row>
    <row r="15" spans="1:17" ht="15.75" customHeight="1" x14ac:dyDescent="0.2">
      <c r="A15" s="223">
        <v>0</v>
      </c>
      <c r="B15" s="286"/>
      <c r="C15" s="288"/>
      <c r="D15" s="106"/>
      <c r="E15" s="224">
        <v>-80.369</v>
      </c>
      <c r="F15" s="141"/>
      <c r="I15" s="233">
        <v>-80.233000000000004</v>
      </c>
      <c r="J15" s="233">
        <v>-80.311000000000007</v>
      </c>
      <c r="K15" s="233">
        <v>-80.335999999999999</v>
      </c>
      <c r="L15" s="233">
        <v>-80.36</v>
      </c>
      <c r="M15" s="233">
        <v>-80.370999999999995</v>
      </c>
      <c r="N15" s="233">
        <v>-80.367999999999995</v>
      </c>
      <c r="O15" s="234">
        <v>-80.361999999999995</v>
      </c>
      <c r="Q15" s="233"/>
    </row>
    <row r="16" spans="1:17" ht="17.25" customHeight="1" x14ac:dyDescent="0.2">
      <c r="A16" s="160" t="s">
        <v>68</v>
      </c>
      <c r="B16" s="286"/>
      <c r="C16" s="288"/>
      <c r="D16" s="106"/>
      <c r="E16" s="224">
        <v>-80.366</v>
      </c>
      <c r="F16" s="141"/>
      <c r="I16" s="233">
        <v>-80.233000000000004</v>
      </c>
      <c r="J16" s="233">
        <v>-80.313000000000002</v>
      </c>
      <c r="K16" s="233">
        <v>-80.337000000000003</v>
      </c>
      <c r="L16" s="233">
        <v>-80.358000000000004</v>
      </c>
      <c r="M16" s="233">
        <v>-80.367999999999995</v>
      </c>
      <c r="N16" s="233">
        <v>-80.366</v>
      </c>
      <c r="O16" s="233">
        <v>-80.363</v>
      </c>
      <c r="Q16" s="233"/>
    </row>
    <row r="17" spans="1:17" ht="16.5" customHeight="1" x14ac:dyDescent="0.2">
      <c r="A17" s="223">
        <v>0</v>
      </c>
      <c r="B17" s="286"/>
      <c r="C17" s="288"/>
      <c r="D17" s="106"/>
      <c r="E17" s="224">
        <v>-80.366</v>
      </c>
      <c r="F17" s="141"/>
      <c r="I17" s="233">
        <v>-80.238</v>
      </c>
      <c r="J17" s="233">
        <v>-80.313999999999993</v>
      </c>
      <c r="K17" s="233">
        <v>-80.338999999999999</v>
      </c>
      <c r="L17" s="233">
        <v>-80.361999999999995</v>
      </c>
      <c r="M17" s="233">
        <v>-80.37</v>
      </c>
      <c r="N17" s="233">
        <v>-80.372</v>
      </c>
      <c r="O17" s="233">
        <v>-80.361999999999995</v>
      </c>
      <c r="Q17" s="233"/>
    </row>
    <row r="18" spans="1:17" ht="15" customHeight="1" x14ac:dyDescent="0.2">
      <c r="A18" s="162" t="s">
        <v>69</v>
      </c>
      <c r="B18" s="286"/>
      <c r="C18" s="288"/>
      <c r="D18" s="106"/>
      <c r="E18" s="224">
        <v>-80.369</v>
      </c>
      <c r="F18" s="141"/>
      <c r="I18" s="233">
        <v>-80.236000000000004</v>
      </c>
      <c r="J18" s="233">
        <v>-80.316000000000003</v>
      </c>
      <c r="K18" s="233">
        <v>-80.400000000000006</v>
      </c>
      <c r="L18" s="233">
        <v>-80.36</v>
      </c>
      <c r="M18" s="233">
        <v>-80.367000000000004</v>
      </c>
      <c r="N18" s="233">
        <v>-80.37</v>
      </c>
      <c r="O18" s="233">
        <v>-80.363</v>
      </c>
      <c r="Q18" s="233"/>
    </row>
    <row r="19" spans="1:17" ht="15" customHeight="1" x14ac:dyDescent="0.2">
      <c r="A19" s="216">
        <f>(A15+A17)/2</f>
        <v>0</v>
      </c>
      <c r="B19" s="286"/>
      <c r="C19" s="288"/>
      <c r="D19" s="106"/>
      <c r="E19" s="224">
        <v>-80.37</v>
      </c>
      <c r="F19" s="141"/>
      <c r="I19" s="233">
        <v>-80.233999999999995</v>
      </c>
      <c r="J19" s="233">
        <v>-80.311999999999998</v>
      </c>
      <c r="K19" s="233">
        <v>-80.332999999999998</v>
      </c>
      <c r="L19" s="233">
        <v>-80.355999999999995</v>
      </c>
      <c r="M19" s="233">
        <v>-80.369</v>
      </c>
      <c r="N19" s="233">
        <v>-80.369</v>
      </c>
      <c r="O19" s="233">
        <v>-80.361999999999995</v>
      </c>
      <c r="Q19" s="233"/>
    </row>
    <row r="20" spans="1:17" ht="15" customHeight="1" thickBot="1" x14ac:dyDescent="0.3">
      <c r="A20" s="163"/>
      <c r="B20" s="289"/>
      <c r="C20" s="164" t="s">
        <v>50</v>
      </c>
      <c r="D20" s="284" t="s">
        <v>70</v>
      </c>
      <c r="E20" s="215">
        <f>IF(E14="","",AVERAGE(E14:E19))</f>
        <v>-80.368166666666653</v>
      </c>
      <c r="F20" s="146"/>
      <c r="I20" s="233">
        <v>-80.236000000000004</v>
      </c>
      <c r="J20" s="233">
        <v>-80.314999999999998</v>
      </c>
      <c r="K20" s="233">
        <v>-80.334999999999994</v>
      </c>
      <c r="L20" s="233">
        <v>-80.355999999999995</v>
      </c>
      <c r="M20" s="233">
        <v>-80.369</v>
      </c>
      <c r="N20" s="233">
        <v>-80.372</v>
      </c>
      <c r="O20" s="233">
        <v>-80.36</v>
      </c>
      <c r="Q20" s="233"/>
    </row>
    <row r="21" spans="1:17" ht="13.5" thickTop="1" x14ac:dyDescent="0.2">
      <c r="A21" s="165" t="s">
        <v>71</v>
      </c>
      <c r="F21" s="166" t="s">
        <v>70</v>
      </c>
      <c r="I21" s="233">
        <v>-80.233000000000004</v>
      </c>
      <c r="J21" s="233">
        <v>-80.311000000000007</v>
      </c>
      <c r="K21" s="233">
        <v>-80.332999999999998</v>
      </c>
      <c r="L21" s="233">
        <v>-80.358000000000004</v>
      </c>
      <c r="M21" s="233">
        <v>-80.366</v>
      </c>
      <c r="N21" s="233">
        <v>-80.369</v>
      </c>
      <c r="O21" s="233">
        <v>-80.364000000000004</v>
      </c>
      <c r="Q21" s="233"/>
    </row>
    <row r="22" spans="1:17" ht="15" customHeight="1" x14ac:dyDescent="0.25">
      <c r="A22" s="167" t="s">
        <v>72</v>
      </c>
      <c r="B22" s="225"/>
      <c r="C22" s="225"/>
      <c r="D22" s="225"/>
      <c r="E22" s="168" t="s">
        <v>73</v>
      </c>
      <c r="F22" s="169" t="str">
        <f>IF(B22="","",AVERAGE(B22:D22))</f>
        <v/>
      </c>
      <c r="I22" s="233">
        <v>-80.233999999999995</v>
      </c>
      <c r="J22" s="233">
        <v>-80.31</v>
      </c>
      <c r="K22" s="233">
        <v>-80.337000000000003</v>
      </c>
      <c r="L22" s="233">
        <v>-80.355999999999995</v>
      </c>
      <c r="M22" s="233">
        <v>-80.366</v>
      </c>
      <c r="N22" s="233">
        <v>-80.369</v>
      </c>
      <c r="O22" s="233">
        <v>-80.361999999999995</v>
      </c>
      <c r="Q22" s="233"/>
    </row>
    <row r="23" spans="1:17" ht="15.75" customHeight="1" x14ac:dyDescent="0.25">
      <c r="A23" s="167" t="s">
        <v>74</v>
      </c>
      <c r="B23" s="225"/>
      <c r="C23" s="225"/>
      <c r="D23" s="225"/>
      <c r="E23" s="168" t="s">
        <v>73</v>
      </c>
      <c r="F23" s="169" t="str">
        <f>IF(B23="","",AVERAGE(B23:D23))</f>
        <v/>
      </c>
      <c r="I23" s="233">
        <v>-80.234999999999999</v>
      </c>
      <c r="J23" s="233" t="s">
        <v>50</v>
      </c>
      <c r="K23" s="233">
        <v>-80.337000000000003</v>
      </c>
      <c r="L23" s="233">
        <v>-80.355000000000004</v>
      </c>
      <c r="M23" s="233">
        <v>-80.369</v>
      </c>
      <c r="N23" s="233">
        <v>-80.364000000000004</v>
      </c>
      <c r="O23" s="233">
        <v>-80.36</v>
      </c>
      <c r="Q23" s="233"/>
    </row>
    <row r="24" spans="1:17" ht="16.5" customHeight="1" thickBot="1" x14ac:dyDescent="0.25">
      <c r="A24" s="170" t="s">
        <v>75</v>
      </c>
      <c r="B24" s="145"/>
      <c r="C24" s="214">
        <v>1.0009170446377673</v>
      </c>
      <c r="D24" s="145" t="s">
        <v>50</v>
      </c>
      <c r="E24" s="145"/>
      <c r="F24" s="146"/>
      <c r="I24" s="233">
        <v>-80.236000000000004</v>
      </c>
      <c r="J24" s="233"/>
      <c r="K24" s="233">
        <v>-80.34</v>
      </c>
      <c r="L24" s="233">
        <v>-80.355999999999995</v>
      </c>
      <c r="M24" s="233">
        <v>-80.37</v>
      </c>
      <c r="N24" s="233">
        <v>-80.366</v>
      </c>
      <c r="O24" s="233"/>
      <c r="Q24" s="233"/>
    </row>
    <row r="25" spans="1:17" ht="18" customHeight="1" thickTop="1" x14ac:dyDescent="0.3">
      <c r="A25" s="171" t="s">
        <v>76</v>
      </c>
      <c r="F25" s="141"/>
      <c r="I25" s="232">
        <f t="shared" ref="I25:O25" si="0">IF(I14="","",AVERAGE(I14:I24))</f>
        <v>-80.204363636363652</v>
      </c>
      <c r="J25" s="232">
        <f t="shared" si="0"/>
        <v>-80.312777777777782</v>
      </c>
      <c r="K25" s="232">
        <f t="shared" si="0"/>
        <v>-80.341909090909084</v>
      </c>
      <c r="L25" s="232">
        <f t="shared" si="0"/>
        <v>-80.35763636363636</v>
      </c>
      <c r="M25" s="232">
        <f t="shared" si="0"/>
        <v>-80.369090909090914</v>
      </c>
      <c r="N25" s="232">
        <f t="shared" si="0"/>
        <v>-80.368636363636369</v>
      </c>
      <c r="O25" s="232">
        <f t="shared" si="0"/>
        <v>-80.361900000000006</v>
      </c>
      <c r="Q25" s="232" t="str">
        <f>IF(Q14="","",AVERAGE(Q14:Q24))</f>
        <v/>
      </c>
    </row>
    <row r="26" spans="1:17" x14ac:dyDescent="0.2">
      <c r="A26" s="172" t="s">
        <v>77</v>
      </c>
      <c r="B26" s="173" t="s">
        <v>78</v>
      </c>
      <c r="C26" s="167"/>
      <c r="D26" s="167"/>
      <c r="E26" s="174">
        <f>IF(E20="","",$E$20-$A$19)</f>
        <v>-80.368166666666653</v>
      </c>
      <c r="F26" s="141"/>
    </row>
    <row r="27" spans="1:17" ht="13.5" x14ac:dyDescent="0.25">
      <c r="A27" s="172" t="s">
        <v>79</v>
      </c>
      <c r="B27" s="173" t="s">
        <v>80</v>
      </c>
      <c r="C27" s="167"/>
      <c r="D27" s="167"/>
      <c r="E27" s="175">
        <f>F11</f>
        <v>0.99643795279879621</v>
      </c>
      <c r="F27" s="141"/>
    </row>
    <row r="28" spans="1:17" ht="13.5" x14ac:dyDescent="0.25">
      <c r="A28" s="172" t="s">
        <v>81</v>
      </c>
      <c r="B28" s="173" t="s">
        <v>82</v>
      </c>
      <c r="C28" s="167"/>
      <c r="D28" s="167"/>
      <c r="E28" s="174">
        <f>$C$8</f>
        <v>1</v>
      </c>
      <c r="F28" s="141"/>
    </row>
    <row r="29" spans="1:17" x14ac:dyDescent="0.2">
      <c r="A29" s="172" t="s">
        <v>83</v>
      </c>
      <c r="B29" s="173" t="s">
        <v>84</v>
      </c>
      <c r="C29" s="167"/>
      <c r="D29" s="167"/>
      <c r="E29" s="174">
        <f>E6</f>
        <v>462.10000000000008</v>
      </c>
      <c r="F29" s="141"/>
    </row>
    <row r="30" spans="1:17" ht="13.5" x14ac:dyDescent="0.25">
      <c r="A30" s="172" t="s">
        <v>85</v>
      </c>
      <c r="B30" s="173" t="s">
        <v>86</v>
      </c>
      <c r="C30" s="167"/>
      <c r="D30" s="176"/>
      <c r="E30" s="177">
        <f>C24</f>
        <v>1.0009170446377673</v>
      </c>
      <c r="F30" s="141"/>
    </row>
    <row r="31" spans="1:17" ht="16.5" x14ac:dyDescent="0.25">
      <c r="A31" s="178" t="s">
        <v>87</v>
      </c>
      <c r="B31" s="217">
        <f>IF(E26="","",ABS(E26*E27*E28*E29*E30))</f>
        <v>37039.778054308976</v>
      </c>
      <c r="C31" s="179" t="s">
        <v>88</v>
      </c>
      <c r="D31" s="180" t="s">
        <v>1</v>
      </c>
      <c r="E31" s="96">
        <f>B4</f>
        <v>43444.620138888888</v>
      </c>
      <c r="F31" s="97"/>
    </row>
    <row r="32" spans="1:17" ht="13.5" thickBot="1" x14ac:dyDescent="0.25">
      <c r="A32" s="181" t="s">
        <v>89</v>
      </c>
      <c r="B32" s="182">
        <f>IF(B31="","",B31/110)</f>
        <v>336.72525503917251</v>
      </c>
      <c r="C32" s="183" t="s">
        <v>90</v>
      </c>
      <c r="D32" s="218">
        <f>IF(B31="","",$B$31/4070)</f>
        <v>9.1006825686262847</v>
      </c>
      <c r="E32" s="184" t="s">
        <v>91</v>
      </c>
      <c r="F32" s="185" t="s">
        <v>92</v>
      </c>
    </row>
    <row r="33" spans="1:6" ht="13.5" customHeight="1" thickTop="1" x14ac:dyDescent="0.2">
      <c r="A33" s="186" t="s">
        <v>93</v>
      </c>
      <c r="B33" s="187" t="s">
        <v>50</v>
      </c>
      <c r="C33" s="188" t="s">
        <v>50</v>
      </c>
      <c r="F33" s="141"/>
    </row>
    <row r="34" spans="1:6" x14ac:dyDescent="0.2">
      <c r="A34" s="189" t="s">
        <v>94</v>
      </c>
      <c r="B34" s="226">
        <v>383.8</v>
      </c>
      <c r="C34" s="190"/>
      <c r="D34" s="98" t="s">
        <v>95</v>
      </c>
      <c r="E34" s="99"/>
      <c r="F34" s="100"/>
    </row>
    <row r="35" spans="1:6" x14ac:dyDescent="0.2">
      <c r="A35" s="191" t="s">
        <v>123</v>
      </c>
      <c r="B35" s="227">
        <v>43431.072916666664</v>
      </c>
      <c r="C35" s="192"/>
      <c r="D35" s="193"/>
      <c r="E35" s="194"/>
      <c r="F35" s="195"/>
    </row>
    <row r="36" spans="1:6" x14ac:dyDescent="0.2">
      <c r="A36" s="191" t="s">
        <v>96</v>
      </c>
      <c r="B36" s="219">
        <f>IF(B35="","",B35-(6/24))</f>
        <v>43430.822916666664</v>
      </c>
      <c r="C36" s="196"/>
      <c r="D36" s="102"/>
      <c r="E36" s="99"/>
      <c r="F36" s="100"/>
    </row>
    <row r="37" spans="1:6" ht="15.75" customHeight="1" thickBot="1" x14ac:dyDescent="0.25">
      <c r="A37" s="197" t="s">
        <v>97</v>
      </c>
      <c r="B37" s="220">
        <f>IF(B36="","",EXP(-0.693*(B4-B36)/73.831))</f>
        <v>0.87853029874190103</v>
      </c>
      <c r="C37" s="198" t="s">
        <v>50</v>
      </c>
      <c r="D37" s="199">
        <f>IF(B37="","",B34*B37*110)</f>
        <v>37089.792152285576</v>
      </c>
      <c r="E37" s="103" t="s">
        <v>98</v>
      </c>
      <c r="F37" s="104"/>
    </row>
    <row r="38" spans="1:6" ht="16.5" thickTop="1" x14ac:dyDescent="0.2">
      <c r="A38" s="186" t="s">
        <v>99</v>
      </c>
      <c r="D38" s="228">
        <v>37092</v>
      </c>
      <c r="E38" s="124" t="s">
        <v>100</v>
      </c>
      <c r="F38" s="141" t="s">
        <v>50</v>
      </c>
    </row>
    <row r="39" spans="1:6" ht="15.75" x14ac:dyDescent="0.2">
      <c r="A39" s="186" t="s">
        <v>101</v>
      </c>
      <c r="D39" s="161">
        <f>D37</f>
        <v>37089.792152285576</v>
      </c>
      <c r="E39" s="124" t="s">
        <v>100</v>
      </c>
      <c r="F39" s="141"/>
    </row>
    <row r="40" spans="1:6" ht="15.75" x14ac:dyDescent="0.2">
      <c r="A40" s="186" t="s">
        <v>102</v>
      </c>
      <c r="C40" s="200" t="s">
        <v>50</v>
      </c>
      <c r="D40" s="161">
        <f>B31</f>
        <v>37039.778054308976</v>
      </c>
      <c r="E40" s="124" t="s">
        <v>100</v>
      </c>
      <c r="F40" s="141"/>
    </row>
    <row r="41" spans="1:6" ht="15.75" x14ac:dyDescent="0.25">
      <c r="A41" s="147" t="s">
        <v>103</v>
      </c>
      <c r="D41" s="210">
        <f>IF(D40="","",100*(D40-D38)/D40)</f>
        <v>-0.14098881914047842</v>
      </c>
      <c r="E41" s="211" t="s">
        <v>104</v>
      </c>
      <c r="F41" s="236" t="str">
        <f>IF(D41="","",IF(ABS(D41)&lt;=2,"Acceptable","Not-Acceptable"))</f>
        <v>Acceptable</v>
      </c>
    </row>
    <row r="42" spans="1:6" ht="15.75" x14ac:dyDescent="0.25">
      <c r="A42" s="147" t="s">
        <v>105</v>
      </c>
      <c r="B42" s="201"/>
      <c r="C42" s="201"/>
      <c r="D42" s="212">
        <f>IF(D40="","",100*(D40-D39)/D40)</f>
        <v>-0.13502807145136725</v>
      </c>
      <c r="E42" s="211" t="s">
        <v>104</v>
      </c>
      <c r="F42" s="236" t="str">
        <f>IF(D42="","",IF(ABS(D42)&lt;=2,"Acceptable","Not-Acceptable"))</f>
        <v>Acceptable</v>
      </c>
    </row>
    <row r="43" spans="1:6" x14ac:dyDescent="0.2">
      <c r="A43" s="202"/>
      <c r="B43" s="201"/>
      <c r="C43" s="201"/>
      <c r="D43" s="201"/>
      <c r="F43" s="141"/>
    </row>
    <row r="44" spans="1:6" ht="13.5" thickBot="1" x14ac:dyDescent="0.25">
      <c r="A44" s="203" t="s">
        <v>50</v>
      </c>
      <c r="B44" s="230"/>
      <c r="C44" s="204"/>
      <c r="D44" s="204"/>
      <c r="E44" s="145"/>
      <c r="F44" s="146"/>
    </row>
    <row r="45" spans="1:6" ht="13.5" thickTop="1" x14ac:dyDescent="0.2">
      <c r="A45" s="201"/>
      <c r="B45" s="201"/>
      <c r="C45" s="201"/>
      <c r="D45" s="201"/>
    </row>
    <row r="46" spans="1:6" x14ac:dyDescent="0.2">
      <c r="A46" s="201" t="s">
        <v>106</v>
      </c>
      <c r="B46" s="101" t="s">
        <v>176</v>
      </c>
      <c r="C46" s="101"/>
      <c r="D46" s="201"/>
      <c r="E46" s="124" t="s">
        <v>107</v>
      </c>
      <c r="F46" s="229">
        <v>43444</v>
      </c>
    </row>
    <row r="47" spans="1:6" ht="14.25" x14ac:dyDescent="0.2">
      <c r="A47" s="205"/>
    </row>
    <row r="48" spans="1:6" x14ac:dyDescent="0.2">
      <c r="A48" s="148"/>
    </row>
    <row r="49" spans="1:2" x14ac:dyDescent="0.2">
      <c r="A49" s="148"/>
    </row>
    <row r="50" spans="1:2" x14ac:dyDescent="0.2">
      <c r="A50" s="148"/>
    </row>
    <row r="51" spans="1:2" x14ac:dyDescent="0.2">
      <c r="A51" s="148"/>
    </row>
    <row r="52" spans="1:2" x14ac:dyDescent="0.2">
      <c r="A52" s="148"/>
    </row>
    <row r="58" spans="1:2" x14ac:dyDescent="0.2">
      <c r="B58" s="206"/>
    </row>
  </sheetData>
  <mergeCells count="13">
    <mergeCell ref="I12:O12"/>
    <mergeCell ref="A1:F1"/>
    <mergeCell ref="A2:F2"/>
    <mergeCell ref="B4:C4"/>
    <mergeCell ref="B12:C12"/>
    <mergeCell ref="E3:F3"/>
    <mergeCell ref="E4:F4"/>
    <mergeCell ref="B46:C46"/>
    <mergeCell ref="D34:F34"/>
    <mergeCell ref="D36:F36"/>
    <mergeCell ref="E37:F37"/>
    <mergeCell ref="E31:F31"/>
    <mergeCell ref="D14:D19"/>
  </mergeCells>
  <phoneticPr fontId="52" type="noConversion"/>
  <pageMargins left="0.70866141732283472" right="0.70866141732283472" top="0.74803149606299213" bottom="0.74803149606299213" header="0.31496062992125984" footer="0.31496062992125984"/>
  <pageSetup scale="96" fitToWidth="2" orientation="portrait" r:id="rId1"/>
  <colBreaks count="1" manualBreakCount="1">
    <brk id="6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3:R46"/>
  <sheetViews>
    <sheetView topLeftCell="C1" workbookViewId="0">
      <selection activeCell="E14" sqref="E14"/>
    </sheetView>
  </sheetViews>
  <sheetFormatPr defaultColWidth="9.5703125" defaultRowHeight="12.75" x14ac:dyDescent="0.2"/>
  <cols>
    <col min="1" max="1" width="6.5703125" style="123" customWidth="1"/>
    <col min="2" max="2" width="8.85546875" style="123" customWidth="1"/>
    <col min="3" max="3" width="19.42578125" style="123" customWidth="1"/>
    <col min="4" max="4" width="8.7109375" style="123" customWidth="1"/>
    <col min="5" max="5" width="17.28515625" style="123" customWidth="1"/>
    <col min="6" max="6" width="8.5703125" style="123" customWidth="1"/>
    <col min="7" max="7" width="14.5703125" style="123" customWidth="1"/>
    <col min="8" max="8" width="8.28515625" style="123" customWidth="1"/>
    <col min="9" max="9" width="17.42578125" style="123" customWidth="1"/>
    <col min="10" max="10" width="9.140625" style="123" customWidth="1"/>
    <col min="11" max="11" width="14.85546875" style="123" customWidth="1"/>
    <col min="12" max="12" width="9.28515625" style="123" customWidth="1"/>
    <col min="13" max="13" width="17.140625" style="123" customWidth="1"/>
    <col min="14" max="14" width="9.140625" style="123" customWidth="1"/>
    <col min="15" max="15" width="16.28515625" style="123" customWidth="1"/>
    <col min="16" max="16" width="8.5703125" style="123" customWidth="1"/>
    <col min="17" max="17" width="19.42578125" style="123" customWidth="1"/>
    <col min="18" max="18" width="4.85546875" style="123" customWidth="1"/>
    <col min="19" max="255" width="9.140625" style="123" customWidth="1"/>
    <col min="256" max="16384" width="9.5703125" style="123"/>
  </cols>
  <sheetData>
    <row r="3" spans="1:18" ht="20.25" x14ac:dyDescent="0.3">
      <c r="G3" s="237" t="s">
        <v>112</v>
      </c>
    </row>
    <row r="5" spans="1:18" ht="15.75" x14ac:dyDescent="0.25">
      <c r="B5" s="108" t="s">
        <v>124</v>
      </c>
      <c r="C5" s="108"/>
      <c r="D5" s="239">
        <f>'[1]New Source Calibration'!B3</f>
        <v>42</v>
      </c>
      <c r="G5" s="238"/>
      <c r="H5" s="238"/>
      <c r="I5" s="238" t="s">
        <v>128</v>
      </c>
      <c r="J5" s="238"/>
      <c r="K5" s="238"/>
      <c r="L5" s="298">
        <f>IF('[1]New Source Calibration'!B34="","",'[1]New Source Calibration'!B34)</f>
        <v>383.8</v>
      </c>
      <c r="M5" s="238" t="s">
        <v>127</v>
      </c>
      <c r="N5" s="238"/>
      <c r="O5" s="238" t="s">
        <v>129</v>
      </c>
      <c r="P5" s="110" t="str">
        <f>IF('[1]New Source Calibration'!E4="","",'[1]New Source Calibration'!E4)</f>
        <v>NLF 01 D85E3112</v>
      </c>
      <c r="Q5" s="110"/>
    </row>
    <row r="6" spans="1:18" ht="15.75" x14ac:dyDescent="0.25">
      <c r="B6" s="238" t="s">
        <v>125</v>
      </c>
      <c r="C6" s="238"/>
      <c r="D6" s="238"/>
      <c r="E6" s="109">
        <f>IF('[1]New Source Calibration'!B4="","",'[1]New Source Calibration'!B4)</f>
        <v>43444.620138888888</v>
      </c>
      <c r="F6" s="109"/>
      <c r="G6" s="238"/>
      <c r="H6" s="238"/>
      <c r="I6" s="238" t="s">
        <v>126</v>
      </c>
      <c r="J6" s="238"/>
      <c r="K6" s="238"/>
      <c r="L6" s="109">
        <f>IF('[1]New Source Calibration'!B35="","",'[1]New Source Calibration'!B35)</f>
        <v>43431.072916666664</v>
      </c>
      <c r="M6" s="109"/>
      <c r="N6" s="238"/>
      <c r="O6" s="238"/>
      <c r="P6" s="238"/>
    </row>
    <row r="7" spans="1:18" ht="16.5" thickBot="1" x14ac:dyDescent="0.3">
      <c r="C7" s="238"/>
      <c r="D7" s="238"/>
      <c r="E7" s="239" t="s">
        <v>50</v>
      </c>
      <c r="F7" s="238"/>
      <c r="G7" s="238"/>
      <c r="H7" s="238"/>
      <c r="I7" s="238"/>
      <c r="J7" s="238"/>
      <c r="K7" s="238"/>
      <c r="L7" s="238"/>
      <c r="M7" s="238"/>
      <c r="N7" s="238"/>
      <c r="O7" s="238"/>
      <c r="Q7" s="240" t="s">
        <v>50</v>
      </c>
    </row>
    <row r="8" spans="1:18" ht="20.100000000000001" customHeight="1" thickTop="1" x14ac:dyDescent="0.25">
      <c r="B8" s="241" t="s">
        <v>113</v>
      </c>
      <c r="C8" s="242" t="s">
        <v>114</v>
      </c>
      <c r="D8" s="243" t="s">
        <v>113</v>
      </c>
      <c r="E8" s="244" t="s">
        <v>115</v>
      </c>
      <c r="F8" s="241" t="s">
        <v>113</v>
      </c>
      <c r="G8" s="243" t="s">
        <v>114</v>
      </c>
      <c r="H8" s="243" t="s">
        <v>113</v>
      </c>
      <c r="I8" s="244" t="s">
        <v>115</v>
      </c>
      <c r="J8" s="241" t="s">
        <v>113</v>
      </c>
      <c r="K8" s="243" t="s">
        <v>114</v>
      </c>
      <c r="L8" s="243" t="s">
        <v>113</v>
      </c>
      <c r="M8" s="244" t="s">
        <v>115</v>
      </c>
      <c r="N8" s="241" t="s">
        <v>113</v>
      </c>
      <c r="O8" s="245" t="s">
        <v>114</v>
      </c>
      <c r="P8" s="243" t="s">
        <v>113</v>
      </c>
      <c r="Q8" s="244" t="s">
        <v>115</v>
      </c>
    </row>
    <row r="9" spans="1:18" ht="20.100000000000001" customHeight="1" thickBot="1" x14ac:dyDescent="0.3">
      <c r="A9" s="246"/>
      <c r="B9" s="247" t="s">
        <v>116</v>
      </c>
      <c r="C9" s="248" t="s">
        <v>117</v>
      </c>
      <c r="D9" s="249"/>
      <c r="E9" s="250" t="s">
        <v>118</v>
      </c>
      <c r="F9" s="247" t="s">
        <v>116</v>
      </c>
      <c r="G9" s="248" t="s">
        <v>117</v>
      </c>
      <c r="H9" s="249"/>
      <c r="I9" s="250" t="s">
        <v>118</v>
      </c>
      <c r="J9" s="247" t="s">
        <v>116</v>
      </c>
      <c r="K9" s="248" t="s">
        <v>117</v>
      </c>
      <c r="L9" s="249"/>
      <c r="M9" s="250" t="s">
        <v>118</v>
      </c>
      <c r="N9" s="247" t="s">
        <v>116</v>
      </c>
      <c r="O9" s="248" t="s">
        <v>117</v>
      </c>
      <c r="P9" s="249"/>
      <c r="Q9" s="250" t="s">
        <v>118</v>
      </c>
    </row>
    <row r="10" spans="1:18" s="296" customFormat="1" ht="15.95" customHeight="1" thickTop="1" x14ac:dyDescent="0.25">
      <c r="A10" s="295"/>
      <c r="B10" s="251">
        <v>1</v>
      </c>
      <c r="C10" s="252">
        <v>43444.5</v>
      </c>
      <c r="D10" s="253">
        <f>IF(C10="","",C10)</f>
        <v>43444.5</v>
      </c>
      <c r="E10" s="254">
        <f>IF('[1]New Source Calibration'!B34="","",110*'[1]New Source Calibration'!B34*(EXP(-0.693*(C10-'[1]New Source Calibration'!B36)/73.831)))</f>
        <v>37131.640410401487</v>
      </c>
      <c r="F10" s="251">
        <f>B39+1</f>
        <v>31</v>
      </c>
      <c r="G10" s="255">
        <f>IF(C39="","",C39+1)</f>
        <v>43474.5</v>
      </c>
      <c r="H10" s="256">
        <f>IF(G10="","",G10)</f>
        <v>43474.5</v>
      </c>
      <c r="I10" s="257">
        <f>IF($E$10="","",$E$10*EXP(-0.693*(G10-$C$10)/73.831))</f>
        <v>28018.9316759457</v>
      </c>
      <c r="J10" s="251">
        <f>F39+1</f>
        <v>61</v>
      </c>
      <c r="K10" s="252">
        <f>IF(G39="","",G39+1)</f>
        <v>43504.5</v>
      </c>
      <c r="L10" s="253">
        <f>IF(K10="","",K10)</f>
        <v>43504.5</v>
      </c>
      <c r="M10" s="254">
        <f>IF($E$10="","",$E$10*EXP(-0.693*(K10-$C$10)/73.831))</f>
        <v>21142.629939974282</v>
      </c>
      <c r="N10" s="251">
        <f>J39+1</f>
        <v>91</v>
      </c>
      <c r="O10" s="255">
        <f>IF(K39="","",K39+1)</f>
        <v>43534.5</v>
      </c>
      <c r="P10" s="256">
        <f>IF(O10="","",O10)</f>
        <v>43534.5</v>
      </c>
      <c r="Q10" s="258">
        <f>IF($E$10="","",$E$10*EXP(-0.693*(O10-$C$10)/73.831))</f>
        <v>15953.884535949543</v>
      </c>
    </row>
    <row r="11" spans="1:18" ht="15.95" customHeight="1" x14ac:dyDescent="0.25">
      <c r="A11" s="246"/>
      <c r="B11" s="259">
        <f t="shared" ref="B11:B39" si="0">B10+1</f>
        <v>2</v>
      </c>
      <c r="C11" s="260">
        <f>IF(C10="","",C10+1)</f>
        <v>43445.5</v>
      </c>
      <c r="D11" s="253">
        <f t="shared" ref="D11:D39" si="1">C11</f>
        <v>43445.5</v>
      </c>
      <c r="E11" s="261">
        <f>IF($E$10="","",$E$10*EXP(-0.693*(C11-$C$10)/73.831))</f>
        <v>36784.742243633278</v>
      </c>
      <c r="F11" s="259">
        <f t="shared" ref="F11:F39" si="2">F10+1</f>
        <v>32</v>
      </c>
      <c r="G11" s="262">
        <f>IF(G10="","",G10+1)</f>
        <v>43475.5</v>
      </c>
      <c r="H11" s="256">
        <f t="shared" ref="H11:H39" si="3">G11</f>
        <v>43475.5</v>
      </c>
      <c r="I11" s="257">
        <f t="shared" ref="I11:I39" si="4">IF($E$10="","",$E$10*EXP(-0.693*(G11-$C$10)/73.831))</f>
        <v>27757.167963764907</v>
      </c>
      <c r="J11" s="259">
        <f t="shared" ref="J11:J39" si="5">J10+1</f>
        <v>62</v>
      </c>
      <c r="K11" s="260">
        <f>IF(K10="","",K10+1)</f>
        <v>43505.5</v>
      </c>
      <c r="L11" s="253">
        <f t="shared" ref="L11:L39" si="6">K11</f>
        <v>43505.5</v>
      </c>
      <c r="M11" s="254">
        <f t="shared" ref="M11:M39" si="7">IF($E$10="","",$E$10*EXP(-0.693*(K11-$C$10)/73.831))</f>
        <v>20945.107301982207</v>
      </c>
      <c r="N11" s="259">
        <f t="shared" ref="N11:N39" si="8">N10+1</f>
        <v>92</v>
      </c>
      <c r="O11" s="262">
        <f>IF(O10="","",O10+1)</f>
        <v>43535.5</v>
      </c>
      <c r="P11" s="256">
        <f t="shared" ref="P11:P39" si="9">O11</f>
        <v>43535.5</v>
      </c>
      <c r="Q11" s="268">
        <f t="shared" ref="Q11:Q39" si="10">IF($E$10="","",$E$10*EXP(-0.693*(O11-$C$10)/73.831))</f>
        <v>15804.837167258494</v>
      </c>
      <c r="R11" s="263"/>
    </row>
    <row r="12" spans="1:18" s="296" customFormat="1" ht="15.95" customHeight="1" x14ac:dyDescent="0.25">
      <c r="A12" s="295"/>
      <c r="B12" s="264">
        <f t="shared" si="0"/>
        <v>3</v>
      </c>
      <c r="C12" s="265">
        <f t="shared" ref="C12:C39" si="11">IF(C11="","",C11+1)</f>
        <v>43446.5</v>
      </c>
      <c r="D12" s="253">
        <f t="shared" si="1"/>
        <v>43446.5</v>
      </c>
      <c r="E12" s="266">
        <f t="shared" ref="E12:E39" si="12">IF($E$10="","",$E$10*EXP(-0.693*(C12-$C$10)/73.831))</f>
        <v>36441.084933901744</v>
      </c>
      <c r="F12" s="264">
        <f t="shared" si="2"/>
        <v>33</v>
      </c>
      <c r="G12" s="267">
        <f t="shared" ref="G12:G39" si="13">IF(G11="","",G11+1)</f>
        <v>43476.5</v>
      </c>
      <c r="H12" s="256">
        <f t="shared" si="3"/>
        <v>43476.5</v>
      </c>
      <c r="I12" s="257">
        <f t="shared" si="4"/>
        <v>27497.849749571222</v>
      </c>
      <c r="J12" s="264">
        <f t="shared" si="5"/>
        <v>63</v>
      </c>
      <c r="K12" s="265">
        <f t="shared" ref="K12:K39" si="14">IF(K11="","",K11+1)</f>
        <v>43506.5</v>
      </c>
      <c r="L12" s="253">
        <f t="shared" si="6"/>
        <v>43506.5</v>
      </c>
      <c r="M12" s="254">
        <f t="shared" si="7"/>
        <v>20749.429996979932</v>
      </c>
      <c r="N12" s="264">
        <f t="shared" si="8"/>
        <v>93</v>
      </c>
      <c r="O12" s="267">
        <f t="shared" ref="O12:O39" si="15">IF(O11="","",O11+1)</f>
        <v>43536.5</v>
      </c>
      <c r="P12" s="256">
        <f t="shared" si="9"/>
        <v>43536.5</v>
      </c>
      <c r="Q12" s="268">
        <f t="shared" si="10"/>
        <v>15657.182256815697</v>
      </c>
      <c r="R12" s="297"/>
    </row>
    <row r="13" spans="1:18" ht="15.95" customHeight="1" x14ac:dyDescent="0.25">
      <c r="A13" s="246"/>
      <c r="B13" s="259">
        <f t="shared" si="0"/>
        <v>4</v>
      </c>
      <c r="C13" s="260">
        <f t="shared" si="11"/>
        <v>43447.5</v>
      </c>
      <c r="D13" s="253">
        <f t="shared" si="1"/>
        <v>43447.5</v>
      </c>
      <c r="E13" s="261">
        <f t="shared" si="12"/>
        <v>36100.638203865172</v>
      </c>
      <c r="F13" s="259">
        <f t="shared" si="2"/>
        <v>34</v>
      </c>
      <c r="G13" s="262">
        <f t="shared" si="13"/>
        <v>43477.5</v>
      </c>
      <c r="H13" s="256">
        <f t="shared" si="3"/>
        <v>43477.5</v>
      </c>
      <c r="I13" s="257">
        <f t="shared" si="4"/>
        <v>27240.954186575258</v>
      </c>
      <c r="J13" s="259">
        <f t="shared" si="5"/>
        <v>64</v>
      </c>
      <c r="K13" s="260">
        <f t="shared" si="14"/>
        <v>43507.5</v>
      </c>
      <c r="L13" s="253">
        <f t="shared" si="6"/>
        <v>43507.5</v>
      </c>
      <c r="M13" s="254">
        <f t="shared" si="7"/>
        <v>20555.580785151913</v>
      </c>
      <c r="N13" s="259">
        <f t="shared" si="8"/>
        <v>94</v>
      </c>
      <c r="O13" s="262">
        <f t="shared" si="15"/>
        <v>43537.5</v>
      </c>
      <c r="P13" s="256">
        <f t="shared" si="9"/>
        <v>43537.5</v>
      </c>
      <c r="Q13" s="268">
        <f t="shared" si="10"/>
        <v>15510.906795736859</v>
      </c>
      <c r="R13" s="269"/>
    </row>
    <row r="14" spans="1:18" s="296" customFormat="1" ht="15.95" customHeight="1" x14ac:dyDescent="0.25">
      <c r="A14" s="295"/>
      <c r="B14" s="264">
        <f t="shared" si="0"/>
        <v>5</v>
      </c>
      <c r="C14" s="265">
        <f t="shared" si="11"/>
        <v>43448.5</v>
      </c>
      <c r="D14" s="253">
        <f t="shared" si="1"/>
        <v>43448.5</v>
      </c>
      <c r="E14" s="266">
        <f t="shared" si="12"/>
        <v>35763.372059044508</v>
      </c>
      <c r="F14" s="264">
        <f t="shared" si="2"/>
        <v>35</v>
      </c>
      <c r="G14" s="267">
        <f t="shared" si="13"/>
        <v>43478.5</v>
      </c>
      <c r="H14" s="256">
        <f t="shared" si="3"/>
        <v>43478.5</v>
      </c>
      <c r="I14" s="257">
        <f t="shared" si="4"/>
        <v>26986.458641431163</v>
      </c>
      <c r="J14" s="264">
        <f t="shared" si="5"/>
        <v>65</v>
      </c>
      <c r="K14" s="265">
        <f t="shared" si="14"/>
        <v>43508.5</v>
      </c>
      <c r="L14" s="253">
        <f t="shared" si="6"/>
        <v>43508.5</v>
      </c>
      <c r="M14" s="254">
        <f t="shared" si="7"/>
        <v>20363.542587743657</v>
      </c>
      <c r="N14" s="264">
        <f t="shared" si="8"/>
        <v>95</v>
      </c>
      <c r="O14" s="267">
        <f t="shared" si="15"/>
        <v>43538.5</v>
      </c>
      <c r="P14" s="256">
        <f t="shared" si="9"/>
        <v>43538.5</v>
      </c>
      <c r="Q14" s="268">
        <f t="shared" si="10"/>
        <v>15365.997896671728</v>
      </c>
      <c r="R14" s="297"/>
    </row>
    <row r="15" spans="1:18" ht="15.95" customHeight="1" x14ac:dyDescent="0.25">
      <c r="A15" s="246"/>
      <c r="B15" s="259">
        <f t="shared" si="0"/>
        <v>6</v>
      </c>
      <c r="C15" s="260">
        <f t="shared" si="11"/>
        <v>43449.5</v>
      </c>
      <c r="D15" s="253">
        <f t="shared" si="1"/>
        <v>43449.5</v>
      </c>
      <c r="E15" s="261">
        <f t="shared" si="12"/>
        <v>35429.256785180754</v>
      </c>
      <c r="F15" s="259">
        <f t="shared" si="2"/>
        <v>36</v>
      </c>
      <c r="G15" s="262">
        <f t="shared" si="13"/>
        <v>43479.5</v>
      </c>
      <c r="H15" s="256">
        <f t="shared" si="3"/>
        <v>43479.5</v>
      </c>
      <c r="I15" s="257">
        <f t="shared" si="4"/>
        <v>26734.340692242571</v>
      </c>
      <c r="J15" s="259">
        <f t="shared" si="5"/>
        <v>66</v>
      </c>
      <c r="K15" s="260">
        <f t="shared" si="14"/>
        <v>43509.5</v>
      </c>
      <c r="L15" s="253">
        <f t="shared" si="6"/>
        <v>43509.5</v>
      </c>
      <c r="M15" s="254">
        <f t="shared" si="7"/>
        <v>20173.298485557003</v>
      </c>
      <c r="N15" s="259">
        <f t="shared" si="8"/>
        <v>96</v>
      </c>
      <c r="O15" s="262">
        <f t="shared" si="15"/>
        <v>43539.5</v>
      </c>
      <c r="P15" s="256">
        <f t="shared" si="9"/>
        <v>43539.5</v>
      </c>
      <c r="Q15" s="268">
        <f t="shared" si="10"/>
        <v>15222.442792668664</v>
      </c>
    </row>
    <row r="16" spans="1:18" s="296" customFormat="1" ht="15.95" customHeight="1" x14ac:dyDescent="0.25">
      <c r="A16" s="295"/>
      <c r="B16" s="264">
        <f t="shared" si="0"/>
        <v>7</v>
      </c>
      <c r="C16" s="265">
        <f t="shared" si="11"/>
        <v>43450.5</v>
      </c>
      <c r="D16" s="253">
        <f t="shared" si="1"/>
        <v>43450.5</v>
      </c>
      <c r="E16" s="266">
        <f t="shared" si="12"/>
        <v>35098.262945617003</v>
      </c>
      <c r="F16" s="264">
        <f t="shared" si="2"/>
        <v>37</v>
      </c>
      <c r="G16" s="267">
        <f t="shared" si="13"/>
        <v>43480.5</v>
      </c>
      <c r="H16" s="256">
        <f t="shared" si="3"/>
        <v>43480.5</v>
      </c>
      <c r="I16" s="257">
        <f t="shared" si="4"/>
        <v>26484.578126587174</v>
      </c>
      <c r="J16" s="264">
        <f t="shared" si="5"/>
        <v>67</v>
      </c>
      <c r="K16" s="265">
        <f t="shared" si="14"/>
        <v>43510.5</v>
      </c>
      <c r="L16" s="253">
        <f t="shared" si="6"/>
        <v>43510.5</v>
      </c>
      <c r="M16" s="254">
        <f t="shared" si="7"/>
        <v>19984.831717459485</v>
      </c>
      <c r="N16" s="264">
        <f t="shared" si="8"/>
        <v>97</v>
      </c>
      <c r="O16" s="267">
        <f t="shared" si="15"/>
        <v>43540.5</v>
      </c>
      <c r="P16" s="256">
        <f t="shared" si="9"/>
        <v>43540.5</v>
      </c>
      <c r="Q16" s="268">
        <f t="shared" si="10"/>
        <v>15080.228836049839</v>
      </c>
    </row>
    <row r="17" spans="1:17" ht="15.95" customHeight="1" x14ac:dyDescent="0.25">
      <c r="A17" s="246"/>
      <c r="B17" s="259">
        <f t="shared" si="0"/>
        <v>8</v>
      </c>
      <c r="C17" s="260">
        <f t="shared" si="11"/>
        <v>43451.5</v>
      </c>
      <c r="D17" s="253">
        <f t="shared" si="1"/>
        <v>43451.5</v>
      </c>
      <c r="E17" s="261">
        <f t="shared" si="12"/>
        <v>34770.36137870502</v>
      </c>
      <c r="F17" s="259">
        <f t="shared" si="2"/>
        <v>38</v>
      </c>
      <c r="G17" s="262">
        <f t="shared" si="13"/>
        <v>43481.5</v>
      </c>
      <c r="H17" s="256">
        <f t="shared" si="3"/>
        <v>43481.5</v>
      </c>
      <c r="I17" s="257">
        <f t="shared" si="4"/>
        <v>26237.148939559691</v>
      </c>
      <c r="J17" s="259">
        <f t="shared" si="5"/>
        <v>68</v>
      </c>
      <c r="K17" s="260">
        <f t="shared" si="14"/>
        <v>43511.5</v>
      </c>
      <c r="L17" s="253">
        <f t="shared" si="6"/>
        <v>43511.5</v>
      </c>
      <c r="M17" s="254">
        <f t="shared" si="7"/>
        <v>19798.125678907636</v>
      </c>
      <c r="N17" s="259">
        <f t="shared" si="8"/>
        <v>98</v>
      </c>
      <c r="O17" s="262">
        <f t="shared" si="15"/>
        <v>43541.5</v>
      </c>
      <c r="P17" s="256">
        <f t="shared" si="9"/>
        <v>43541.5</v>
      </c>
      <c r="Q17" s="268">
        <f t="shared" si="10"/>
        <v>14939.343497296928</v>
      </c>
    </row>
    <row r="18" spans="1:17" s="296" customFormat="1" ht="15.95" customHeight="1" x14ac:dyDescent="0.25">
      <c r="A18" s="295"/>
      <c r="B18" s="264">
        <f t="shared" si="0"/>
        <v>9</v>
      </c>
      <c r="C18" s="265">
        <f t="shared" si="11"/>
        <v>43452.5</v>
      </c>
      <c r="D18" s="253">
        <f t="shared" si="1"/>
        <v>43452.5</v>
      </c>
      <c r="E18" s="266">
        <f t="shared" si="12"/>
        <v>34445.523195235968</v>
      </c>
      <c r="F18" s="264">
        <f t="shared" si="2"/>
        <v>39</v>
      </c>
      <c r="G18" s="267">
        <f t="shared" si="13"/>
        <v>43482.5</v>
      </c>
      <c r="H18" s="256">
        <f t="shared" si="3"/>
        <v>43482.5</v>
      </c>
      <c r="I18" s="257">
        <f t="shared" si="4"/>
        <v>25992.031331833208</v>
      </c>
      <c r="J18" s="264">
        <f t="shared" si="5"/>
        <v>69</v>
      </c>
      <c r="K18" s="265">
        <f t="shared" si="14"/>
        <v>43512.5</v>
      </c>
      <c r="L18" s="253">
        <f t="shared" si="6"/>
        <v>43512.5</v>
      </c>
      <c r="M18" s="254">
        <f t="shared" si="7"/>
        <v>19613.163920484065</v>
      </c>
      <c r="N18" s="264">
        <f t="shared" si="8"/>
        <v>99</v>
      </c>
      <c r="O18" s="267">
        <f t="shared" si="15"/>
        <v>43542.5</v>
      </c>
      <c r="P18" s="256">
        <f t="shared" si="9"/>
        <v>43542.5</v>
      </c>
      <c r="Q18" s="268">
        <f t="shared" si="10"/>
        <v>14799.774363947214</v>
      </c>
    </row>
    <row r="19" spans="1:17" ht="15.95" customHeight="1" thickBot="1" x14ac:dyDescent="0.3">
      <c r="A19" s="246"/>
      <c r="B19" s="270">
        <f t="shared" si="0"/>
        <v>10</v>
      </c>
      <c r="C19" s="271">
        <f t="shared" si="11"/>
        <v>43453.5</v>
      </c>
      <c r="D19" s="272">
        <f t="shared" si="1"/>
        <v>43453.5</v>
      </c>
      <c r="E19" s="273">
        <f t="shared" si="12"/>
        <v>34123.719775895195</v>
      </c>
      <c r="F19" s="270">
        <f t="shared" si="2"/>
        <v>40</v>
      </c>
      <c r="G19" s="274">
        <f t="shared" si="13"/>
        <v>43483.5</v>
      </c>
      <c r="H19" s="275">
        <f t="shared" si="3"/>
        <v>43483.5</v>
      </c>
      <c r="I19" s="290">
        <f t="shared" si="4"/>
        <v>25749.203707738554</v>
      </c>
      <c r="J19" s="270">
        <f t="shared" si="5"/>
        <v>70</v>
      </c>
      <c r="K19" s="271">
        <f t="shared" si="14"/>
        <v>43513.5</v>
      </c>
      <c r="L19" s="272">
        <f t="shared" si="6"/>
        <v>43513.5</v>
      </c>
      <c r="M19" s="292">
        <f t="shared" si="7"/>
        <v>19429.930146448209</v>
      </c>
      <c r="N19" s="270">
        <f t="shared" si="8"/>
        <v>100</v>
      </c>
      <c r="O19" s="274">
        <f t="shared" si="15"/>
        <v>43543.5</v>
      </c>
      <c r="P19" s="275">
        <f t="shared" si="9"/>
        <v>43543.5</v>
      </c>
      <c r="Q19" s="290">
        <f t="shared" si="10"/>
        <v>14661.509139500029</v>
      </c>
    </row>
    <row r="20" spans="1:17" s="296" customFormat="1" ht="15.95" customHeight="1" x14ac:dyDescent="0.25">
      <c r="A20" s="295"/>
      <c r="B20" s="251">
        <f t="shared" si="0"/>
        <v>11</v>
      </c>
      <c r="C20" s="252">
        <f t="shared" si="11"/>
        <v>43454.5</v>
      </c>
      <c r="D20" s="253">
        <f t="shared" si="1"/>
        <v>43454.5</v>
      </c>
      <c r="E20" s="254">
        <f t="shared" si="12"/>
        <v>33804.922768740777</v>
      </c>
      <c r="F20" s="251">
        <f t="shared" si="2"/>
        <v>41</v>
      </c>
      <c r="G20" s="255">
        <f t="shared" si="13"/>
        <v>43484.5</v>
      </c>
      <c r="H20" s="256">
        <f t="shared" si="3"/>
        <v>43484.5</v>
      </c>
      <c r="I20" s="257">
        <f t="shared" si="4"/>
        <v>25508.644673361676</v>
      </c>
      <c r="J20" s="251">
        <f t="shared" si="5"/>
        <v>71</v>
      </c>
      <c r="K20" s="252">
        <f t="shared" si="14"/>
        <v>43514.5</v>
      </c>
      <c r="L20" s="253">
        <f t="shared" si="6"/>
        <v>43514.5</v>
      </c>
      <c r="M20" s="254">
        <f t="shared" si="7"/>
        <v>19248.408213300616</v>
      </c>
      <c r="N20" s="251">
        <f t="shared" si="8"/>
        <v>101</v>
      </c>
      <c r="O20" s="255">
        <f t="shared" si="15"/>
        <v>43544.5</v>
      </c>
      <c r="P20" s="256">
        <f t="shared" si="9"/>
        <v>43544.5</v>
      </c>
      <c r="Q20" s="257">
        <f t="shared" si="10"/>
        <v>14524.53564233336</v>
      </c>
    </row>
    <row r="21" spans="1:17" ht="15.95" customHeight="1" x14ac:dyDescent="0.25">
      <c r="A21" s="246"/>
      <c r="B21" s="259">
        <f t="shared" si="0"/>
        <v>12</v>
      </c>
      <c r="C21" s="260">
        <f t="shared" si="11"/>
        <v>43455.5</v>
      </c>
      <c r="D21" s="253">
        <f t="shared" si="1"/>
        <v>43455.5</v>
      </c>
      <c r="E21" s="261">
        <f t="shared" si="12"/>
        <v>33489.104086705607</v>
      </c>
      <c r="F21" s="259">
        <f t="shared" si="2"/>
        <v>42</v>
      </c>
      <c r="G21" s="262">
        <f t="shared" si="13"/>
        <v>43485.5</v>
      </c>
      <c r="H21" s="256">
        <f t="shared" si="3"/>
        <v>43485.5</v>
      </c>
      <c r="I21" s="257">
        <f t="shared" si="4"/>
        <v>25270.33303465875</v>
      </c>
      <c r="J21" s="259">
        <f t="shared" si="5"/>
        <v>72</v>
      </c>
      <c r="K21" s="260">
        <f t="shared" si="14"/>
        <v>43515.5</v>
      </c>
      <c r="L21" s="253">
        <f t="shared" si="6"/>
        <v>43515.5</v>
      </c>
      <c r="M21" s="254">
        <f t="shared" si="7"/>
        <v>19068.582128360682</v>
      </c>
      <c r="N21" s="259">
        <f t="shared" si="8"/>
        <v>102</v>
      </c>
      <c r="O21" s="262">
        <f t="shared" si="15"/>
        <v>43545.5</v>
      </c>
      <c r="P21" s="256">
        <f t="shared" si="9"/>
        <v>43545.5</v>
      </c>
      <c r="Q21" s="268">
        <f t="shared" si="10"/>
        <v>14388.841804630636</v>
      </c>
    </row>
    <row r="22" spans="1:17" s="296" customFormat="1" ht="15.95" customHeight="1" x14ac:dyDescent="0.25">
      <c r="A22" s="295"/>
      <c r="B22" s="264">
        <f t="shared" si="0"/>
        <v>13</v>
      </c>
      <c r="C22" s="265">
        <f t="shared" si="11"/>
        <v>43456.5</v>
      </c>
      <c r="D22" s="253">
        <f t="shared" si="1"/>
        <v>43456.5</v>
      </c>
      <c r="E22" s="266">
        <f t="shared" si="12"/>
        <v>33176.235905122827</v>
      </c>
      <c r="F22" s="264">
        <f t="shared" si="2"/>
        <v>43</v>
      </c>
      <c r="G22" s="267">
        <f t="shared" si="13"/>
        <v>43486.5</v>
      </c>
      <c r="H22" s="256">
        <f t="shared" si="3"/>
        <v>43486.5</v>
      </c>
      <c r="I22" s="257">
        <f t="shared" si="4"/>
        <v>25034.247795588901</v>
      </c>
      <c r="J22" s="264">
        <f t="shared" si="5"/>
        <v>73</v>
      </c>
      <c r="K22" s="265">
        <f t="shared" si="14"/>
        <v>43516.5</v>
      </c>
      <c r="L22" s="253">
        <f t="shared" si="6"/>
        <v>43516.5</v>
      </c>
      <c r="M22" s="254">
        <f t="shared" si="7"/>
        <v>18890.436048357591</v>
      </c>
      <c r="N22" s="264">
        <f t="shared" si="8"/>
        <v>103</v>
      </c>
      <c r="O22" s="267">
        <f t="shared" si="15"/>
        <v>43546.5</v>
      </c>
      <c r="P22" s="256">
        <f t="shared" si="9"/>
        <v>43546.5</v>
      </c>
      <c r="Q22" s="268">
        <f t="shared" si="10"/>
        <v>14254.415671317498</v>
      </c>
    </row>
    <row r="23" spans="1:17" ht="15.95" customHeight="1" x14ac:dyDescent="0.25">
      <c r="A23" s="246"/>
      <c r="B23" s="259">
        <f t="shared" si="0"/>
        <v>14</v>
      </c>
      <c r="C23" s="260">
        <f t="shared" si="11"/>
        <v>43457.5</v>
      </c>
      <c r="D23" s="253">
        <f t="shared" si="1"/>
        <v>43457.5</v>
      </c>
      <c r="E23" s="261">
        <f t="shared" si="12"/>
        <v>32866.290659274418</v>
      </c>
      <c r="F23" s="259">
        <f t="shared" si="2"/>
        <v>44</v>
      </c>
      <c r="G23" s="262">
        <f t="shared" si="13"/>
        <v>43487.5</v>
      </c>
      <c r="H23" s="256">
        <f t="shared" si="3"/>
        <v>43487.5</v>
      </c>
      <c r="I23" s="257">
        <f t="shared" si="4"/>
        <v>24800.368156264423</v>
      </c>
      <c r="J23" s="259">
        <f t="shared" si="5"/>
        <v>74</v>
      </c>
      <c r="K23" s="260">
        <f t="shared" si="14"/>
        <v>43517.5</v>
      </c>
      <c r="L23" s="253">
        <f t="shared" si="6"/>
        <v>43517.5</v>
      </c>
      <c r="M23" s="254">
        <f t="shared" si="7"/>
        <v>18713.954278034518</v>
      </c>
      <c r="N23" s="259">
        <f t="shared" si="8"/>
        <v>104</v>
      </c>
      <c r="O23" s="262">
        <f t="shared" si="15"/>
        <v>43547.5</v>
      </c>
      <c r="P23" s="256">
        <f t="shared" si="9"/>
        <v>43547.5</v>
      </c>
      <c r="Q23" s="268">
        <f t="shared" si="10"/>
        <v>14121.245399008525</v>
      </c>
    </row>
    <row r="24" spans="1:17" s="296" customFormat="1" ht="15.95" customHeight="1" x14ac:dyDescent="0.25">
      <c r="A24" s="295"/>
      <c r="B24" s="264">
        <f t="shared" si="0"/>
        <v>15</v>
      </c>
      <c r="C24" s="265">
        <f t="shared" si="11"/>
        <v>43458.5</v>
      </c>
      <c r="D24" s="253">
        <f t="shared" si="1"/>
        <v>43458.5</v>
      </c>
      <c r="E24" s="266">
        <f t="shared" si="12"/>
        <v>32559.24104196261</v>
      </c>
      <c r="F24" s="264">
        <f t="shared" si="2"/>
        <v>45</v>
      </c>
      <c r="G24" s="267">
        <f t="shared" si="13"/>
        <v>43488.5</v>
      </c>
      <c r="H24" s="256">
        <f t="shared" si="3"/>
        <v>43488.5</v>
      </c>
      <c r="I24" s="257">
        <f t="shared" si="4"/>
        <v>24568.67351111821</v>
      </c>
      <c r="J24" s="264">
        <f t="shared" si="5"/>
        <v>75</v>
      </c>
      <c r="K24" s="265">
        <f t="shared" si="14"/>
        <v>43518.5</v>
      </c>
      <c r="L24" s="253">
        <f t="shared" si="6"/>
        <v>43518.5</v>
      </c>
      <c r="M24" s="254">
        <f t="shared" si="7"/>
        <v>18539.121268765808</v>
      </c>
      <c r="N24" s="264">
        <f t="shared" si="8"/>
        <v>105</v>
      </c>
      <c r="O24" s="267">
        <f t="shared" si="15"/>
        <v>43548.5</v>
      </c>
      <c r="P24" s="256">
        <f t="shared" si="9"/>
        <v>43548.5</v>
      </c>
      <c r="Q24" s="268">
        <f t="shared" si="10"/>
        <v>13989.319254963788</v>
      </c>
    </row>
    <row r="25" spans="1:17" ht="15.95" customHeight="1" x14ac:dyDescent="0.25">
      <c r="A25" s="246"/>
      <c r="B25" s="259">
        <f t="shared" si="0"/>
        <v>16</v>
      </c>
      <c r="C25" s="260">
        <f t="shared" si="11"/>
        <v>43459.5</v>
      </c>
      <c r="D25" s="253">
        <f t="shared" si="1"/>
        <v>43459.5</v>
      </c>
      <c r="E25" s="261">
        <f t="shared" si="12"/>
        <v>32255.06000110407</v>
      </c>
      <c r="F25" s="259">
        <f t="shared" si="2"/>
        <v>46</v>
      </c>
      <c r="G25" s="262">
        <f t="shared" si="13"/>
        <v>43489.5</v>
      </c>
      <c r="H25" s="256">
        <f t="shared" si="3"/>
        <v>43489.5</v>
      </c>
      <c r="I25" s="257">
        <f t="shared" si="4"/>
        <v>24339.14344708834</v>
      </c>
      <c r="J25" s="259">
        <f t="shared" si="5"/>
        <v>76</v>
      </c>
      <c r="K25" s="260">
        <f t="shared" si="14"/>
        <v>43519.5</v>
      </c>
      <c r="L25" s="253">
        <f t="shared" si="6"/>
        <v>43519.5</v>
      </c>
      <c r="M25" s="254">
        <f t="shared" si="7"/>
        <v>18365.921617187076</v>
      </c>
      <c r="N25" s="259">
        <f t="shared" si="8"/>
        <v>106</v>
      </c>
      <c r="O25" s="262">
        <f t="shared" si="15"/>
        <v>43549.5</v>
      </c>
      <c r="P25" s="256">
        <f t="shared" si="9"/>
        <v>43549.5</v>
      </c>
      <c r="Q25" s="268">
        <f t="shared" si="10"/>
        <v>13858.625616055157</v>
      </c>
    </row>
    <row r="26" spans="1:17" s="296" customFormat="1" ht="15.95" customHeight="1" x14ac:dyDescent="0.25">
      <c r="A26" s="295"/>
      <c r="B26" s="264">
        <f t="shared" si="0"/>
        <v>17</v>
      </c>
      <c r="C26" s="265">
        <f t="shared" si="11"/>
        <v>43460.5</v>
      </c>
      <c r="D26" s="253">
        <f t="shared" si="1"/>
        <v>43460.5</v>
      </c>
      <c r="E26" s="266">
        <f t="shared" si="12"/>
        <v>31953.720737346495</v>
      </c>
      <c r="F26" s="264">
        <f t="shared" si="2"/>
        <v>47</v>
      </c>
      <c r="G26" s="267">
        <f t="shared" si="13"/>
        <v>43490.5</v>
      </c>
      <c r="H26" s="256">
        <f t="shared" si="3"/>
        <v>43490.5</v>
      </c>
      <c r="I26" s="257">
        <f t="shared" si="4"/>
        <v>24111.757741819631</v>
      </c>
      <c r="J26" s="264">
        <f t="shared" si="5"/>
        <v>77</v>
      </c>
      <c r="K26" s="265">
        <f t="shared" si="14"/>
        <v>43520.5</v>
      </c>
      <c r="L26" s="253">
        <f t="shared" si="6"/>
        <v>43520.5</v>
      </c>
      <c r="M26" s="254">
        <f t="shared" si="7"/>
        <v>18194.340063838139</v>
      </c>
      <c r="N26" s="264">
        <f t="shared" si="8"/>
        <v>107</v>
      </c>
      <c r="O26" s="267">
        <f t="shared" si="15"/>
        <v>43550.5</v>
      </c>
      <c r="P26" s="256">
        <f t="shared" si="9"/>
        <v>43550.5</v>
      </c>
      <c r="Q26" s="268">
        <f t="shared" si="10"/>
        <v>13729.152967742271</v>
      </c>
    </row>
    <row r="27" spans="1:17" ht="15.95" customHeight="1" x14ac:dyDescent="0.25">
      <c r="A27" s="246"/>
      <c r="B27" s="259">
        <f t="shared" si="0"/>
        <v>18</v>
      </c>
      <c r="C27" s="260">
        <f t="shared" si="11"/>
        <v>43461.5</v>
      </c>
      <c r="D27" s="253">
        <f t="shared" si="1"/>
        <v>43461.5</v>
      </c>
      <c r="E27" s="261">
        <f t="shared" si="12"/>
        <v>31655.196701707504</v>
      </c>
      <c r="F27" s="259">
        <f t="shared" si="2"/>
        <v>48</v>
      </c>
      <c r="G27" s="262">
        <f t="shared" si="13"/>
        <v>43491.5</v>
      </c>
      <c r="H27" s="256">
        <f t="shared" si="3"/>
        <v>43491.5</v>
      </c>
      <c r="I27" s="257">
        <f t="shared" si="4"/>
        <v>23886.49636188196</v>
      </c>
      <c r="J27" s="259">
        <f t="shared" si="5"/>
        <v>78</v>
      </c>
      <c r="K27" s="260">
        <f t="shared" si="14"/>
        <v>43521.5</v>
      </c>
      <c r="L27" s="253">
        <f t="shared" si="6"/>
        <v>43521.5</v>
      </c>
      <c r="M27" s="254">
        <f t="shared" si="7"/>
        <v>18024.36149181861</v>
      </c>
      <c r="N27" s="259">
        <f t="shared" si="8"/>
        <v>108</v>
      </c>
      <c r="O27" s="262">
        <f t="shared" si="15"/>
        <v>43551.5</v>
      </c>
      <c r="P27" s="256">
        <f t="shared" si="9"/>
        <v>43551.5</v>
      </c>
      <c r="Q27" s="268">
        <f t="shared" si="10"/>
        <v>13600.889903058063</v>
      </c>
    </row>
    <row r="28" spans="1:17" s="296" customFormat="1" ht="15.95" customHeight="1" x14ac:dyDescent="0.25">
      <c r="A28" s="295"/>
      <c r="B28" s="264">
        <f t="shared" si="0"/>
        <v>19</v>
      </c>
      <c r="C28" s="265">
        <f t="shared" si="11"/>
        <v>43462.5</v>
      </c>
      <c r="D28" s="253">
        <f t="shared" si="1"/>
        <v>43462.5</v>
      </c>
      <c r="E28" s="266">
        <f t="shared" si="12"/>
        <v>31359.461593235614</v>
      </c>
      <c r="F28" s="264">
        <f t="shared" si="2"/>
        <v>49</v>
      </c>
      <c r="G28" s="267">
        <f t="shared" si="13"/>
        <v>43492.5</v>
      </c>
      <c r="H28" s="256">
        <f t="shared" si="3"/>
        <v>43492.5</v>
      </c>
      <c r="I28" s="257">
        <f t="shared" si="4"/>
        <v>23663.339461005289</v>
      </c>
      <c r="J28" s="264">
        <f t="shared" si="5"/>
        <v>79</v>
      </c>
      <c r="K28" s="265">
        <f t="shared" si="14"/>
        <v>43522.5</v>
      </c>
      <c r="L28" s="253">
        <f t="shared" si="6"/>
        <v>43522.5</v>
      </c>
      <c r="M28" s="254">
        <f t="shared" si="7"/>
        <v>17855.970925456022</v>
      </c>
      <c r="N28" s="264">
        <f t="shared" si="8"/>
        <v>109</v>
      </c>
      <c r="O28" s="267">
        <f t="shared" si="15"/>
        <v>43552.5</v>
      </c>
      <c r="P28" s="256">
        <f t="shared" si="9"/>
        <v>43552.5</v>
      </c>
      <c r="Q28" s="268">
        <f t="shared" si="10"/>
        <v>13473.825121603768</v>
      </c>
    </row>
    <row r="29" spans="1:17" ht="15.95" customHeight="1" thickBot="1" x14ac:dyDescent="0.3">
      <c r="A29" s="246"/>
      <c r="B29" s="270">
        <f t="shared" si="0"/>
        <v>20</v>
      </c>
      <c r="C29" s="271">
        <f t="shared" si="11"/>
        <v>43463.5</v>
      </c>
      <c r="D29" s="272">
        <f t="shared" si="1"/>
        <v>43463.5</v>
      </c>
      <c r="E29" s="273">
        <f t="shared" si="12"/>
        <v>31066.489356693</v>
      </c>
      <c r="F29" s="270">
        <f t="shared" si="2"/>
        <v>50</v>
      </c>
      <c r="G29" s="274">
        <f t="shared" si="13"/>
        <v>43493.5</v>
      </c>
      <c r="H29" s="275">
        <f t="shared" si="3"/>
        <v>43493.5</v>
      </c>
      <c r="I29" s="290">
        <f t="shared" si="4"/>
        <v>23442.267378331097</v>
      </c>
      <c r="J29" s="270">
        <f t="shared" si="5"/>
        <v>80</v>
      </c>
      <c r="K29" s="271">
        <f t="shared" si="14"/>
        <v>43523.5</v>
      </c>
      <c r="L29" s="272">
        <f t="shared" si="6"/>
        <v>43523.5</v>
      </c>
      <c r="M29" s="292">
        <f t="shared" si="7"/>
        <v>17689.153528986462</v>
      </c>
      <c r="N29" s="270">
        <f t="shared" si="8"/>
        <v>110</v>
      </c>
      <c r="O29" s="274">
        <f t="shared" si="15"/>
        <v>43553.5</v>
      </c>
      <c r="P29" s="275">
        <f t="shared" si="9"/>
        <v>43553.5</v>
      </c>
      <c r="Q29" s="290">
        <f t="shared" si="10"/>
        <v>13347.947428553332</v>
      </c>
    </row>
    <row r="30" spans="1:17" s="296" customFormat="1" ht="15.95" customHeight="1" x14ac:dyDescent="0.25">
      <c r="A30" s="295"/>
      <c r="B30" s="251">
        <f t="shared" si="0"/>
        <v>21</v>
      </c>
      <c r="C30" s="252">
        <f t="shared" si="11"/>
        <v>43464.5</v>
      </c>
      <c r="D30" s="253">
        <f t="shared" si="1"/>
        <v>43464.5</v>
      </c>
      <c r="E30" s="254">
        <f t="shared" si="12"/>
        <v>30776.254180259966</v>
      </c>
      <c r="F30" s="251">
        <f t="shared" si="2"/>
        <v>51</v>
      </c>
      <c r="G30" s="255">
        <f t="shared" si="13"/>
        <v>43494.5</v>
      </c>
      <c r="H30" s="256">
        <f t="shared" si="3"/>
        <v>43494.5</v>
      </c>
      <c r="I30" s="257">
        <f t="shared" si="4"/>
        <v>23223.260636680247</v>
      </c>
      <c r="J30" s="251">
        <f t="shared" si="5"/>
        <v>81</v>
      </c>
      <c r="K30" s="252">
        <f t="shared" si="14"/>
        <v>43524.5</v>
      </c>
      <c r="L30" s="253">
        <f t="shared" si="6"/>
        <v>43524.5</v>
      </c>
      <c r="M30" s="254">
        <f t="shared" si="7"/>
        <v>17523.894605247457</v>
      </c>
      <c r="N30" s="251">
        <f t="shared" si="8"/>
        <v>111</v>
      </c>
      <c r="O30" s="255">
        <f t="shared" si="15"/>
        <v>43554.5</v>
      </c>
      <c r="P30" s="256">
        <f t="shared" si="9"/>
        <v>43554.5</v>
      </c>
      <c r="Q30" s="257">
        <f t="shared" si="10"/>
        <v>13223.24573366709</v>
      </c>
    </row>
    <row r="31" spans="1:17" ht="15.95" customHeight="1" x14ac:dyDescent="0.25">
      <c r="A31" s="246"/>
      <c r="B31" s="259">
        <f t="shared" si="0"/>
        <v>22</v>
      </c>
      <c r="C31" s="260">
        <f t="shared" si="11"/>
        <v>43465.5</v>
      </c>
      <c r="D31" s="253">
        <f t="shared" si="1"/>
        <v>43465.5</v>
      </c>
      <c r="E31" s="261">
        <f t="shared" si="12"/>
        <v>30488.730493260835</v>
      </c>
      <c r="F31" s="259">
        <f t="shared" si="2"/>
        <v>52</v>
      </c>
      <c r="G31" s="262">
        <f t="shared" si="13"/>
        <v>43495.5</v>
      </c>
      <c r="H31" s="256">
        <f t="shared" si="3"/>
        <v>43495.5</v>
      </c>
      <c r="I31" s="257">
        <f t="shared" si="4"/>
        <v>23006.299940836925</v>
      </c>
      <c r="J31" s="259">
        <f t="shared" si="5"/>
        <v>82</v>
      </c>
      <c r="K31" s="260">
        <f t="shared" si="14"/>
        <v>43525.5</v>
      </c>
      <c r="L31" s="253">
        <f t="shared" si="6"/>
        <v>43525.5</v>
      </c>
      <c r="M31" s="254">
        <f t="shared" si="7"/>
        <v>17360.179594383117</v>
      </c>
      <c r="N31" s="259">
        <f t="shared" si="8"/>
        <v>112</v>
      </c>
      <c r="O31" s="262">
        <f t="shared" si="15"/>
        <v>43555.5</v>
      </c>
      <c r="P31" s="256">
        <f t="shared" si="9"/>
        <v>43555.5</v>
      </c>
      <c r="Q31" s="268">
        <f t="shared" si="10"/>
        <v>13099.709050314697</v>
      </c>
    </row>
    <row r="32" spans="1:17" s="296" customFormat="1" ht="15.95" customHeight="1" x14ac:dyDescent="0.25">
      <c r="A32" s="295"/>
      <c r="B32" s="264">
        <f t="shared" si="0"/>
        <v>23</v>
      </c>
      <c r="C32" s="265">
        <f t="shared" si="11"/>
        <v>43466.5</v>
      </c>
      <c r="D32" s="253">
        <f t="shared" si="1"/>
        <v>43466.5</v>
      </c>
      <c r="E32" s="266">
        <f t="shared" si="12"/>
        <v>30203.892963911083</v>
      </c>
      <c r="F32" s="264">
        <f t="shared" si="2"/>
        <v>53</v>
      </c>
      <c r="G32" s="267">
        <f t="shared" si="13"/>
        <v>43496.5</v>
      </c>
      <c r="H32" s="256">
        <f t="shared" si="3"/>
        <v>43496.5</v>
      </c>
      <c r="I32" s="257">
        <f t="shared" si="4"/>
        <v>22791.366175848718</v>
      </c>
      <c r="J32" s="264">
        <f t="shared" si="5"/>
        <v>83</v>
      </c>
      <c r="K32" s="265">
        <f t="shared" si="14"/>
        <v>43526.5</v>
      </c>
      <c r="L32" s="253">
        <f t="shared" si="6"/>
        <v>43526.5</v>
      </c>
      <c r="M32" s="254">
        <f t="shared" si="7"/>
        <v>17197.994072561374</v>
      </c>
      <c r="N32" s="264">
        <f t="shared" si="8"/>
        <v>113</v>
      </c>
      <c r="O32" s="267">
        <f t="shared" si="15"/>
        <v>43556.5</v>
      </c>
      <c r="P32" s="256">
        <f t="shared" si="9"/>
        <v>43556.5</v>
      </c>
      <c r="Q32" s="268">
        <f t="shared" si="10"/>
        <v>12977.32649450717</v>
      </c>
    </row>
    <row r="33" spans="1:17" ht="15.95" customHeight="1" x14ac:dyDescent="0.25">
      <c r="A33" s="246"/>
      <c r="B33" s="259">
        <f t="shared" si="0"/>
        <v>24</v>
      </c>
      <c r="C33" s="260">
        <f t="shared" si="11"/>
        <v>43467.5</v>
      </c>
      <c r="D33" s="253">
        <f t="shared" si="1"/>
        <v>43467.5</v>
      </c>
      <c r="E33" s="261">
        <f t="shared" si="12"/>
        <v>29921.716497085534</v>
      </c>
      <c r="F33" s="259">
        <f t="shared" si="2"/>
        <v>54</v>
      </c>
      <c r="G33" s="262">
        <f t="shared" si="13"/>
        <v>43497.5</v>
      </c>
      <c r="H33" s="256">
        <f t="shared" si="3"/>
        <v>43497.5</v>
      </c>
      <c r="I33" s="257">
        <f t="shared" si="4"/>
        <v>22578.440405342491</v>
      </c>
      <c r="J33" s="259">
        <f t="shared" si="5"/>
        <v>84</v>
      </c>
      <c r="K33" s="260">
        <f t="shared" si="14"/>
        <v>43527.5</v>
      </c>
      <c r="L33" s="253">
        <f t="shared" si="6"/>
        <v>43527.5</v>
      </c>
      <c r="M33" s="254">
        <f t="shared" si="7"/>
        <v>17037.323750703174</v>
      </c>
      <c r="N33" s="259">
        <f t="shared" si="8"/>
        <v>114</v>
      </c>
      <c r="O33" s="262">
        <f t="shared" si="15"/>
        <v>43557.5</v>
      </c>
      <c r="P33" s="256">
        <f t="shared" si="9"/>
        <v>43557.5</v>
      </c>
      <c r="Q33" s="268">
        <f t="shared" si="10"/>
        <v>12856.087283937955</v>
      </c>
    </row>
    <row r="34" spans="1:17" s="296" customFormat="1" ht="15.95" customHeight="1" x14ac:dyDescent="0.25">
      <c r="A34" s="295"/>
      <c r="B34" s="264">
        <f t="shared" si="0"/>
        <v>25</v>
      </c>
      <c r="C34" s="265">
        <f t="shared" si="11"/>
        <v>43468.5</v>
      </c>
      <c r="D34" s="253">
        <f t="shared" si="1"/>
        <v>43468.5</v>
      </c>
      <c r="E34" s="266">
        <f t="shared" si="12"/>
        <v>29642.176232107387</v>
      </c>
      <c r="F34" s="264">
        <f t="shared" si="2"/>
        <v>55</v>
      </c>
      <c r="G34" s="267">
        <f t="shared" si="13"/>
        <v>43498.5</v>
      </c>
      <c r="H34" s="256">
        <f t="shared" si="3"/>
        <v>43498.5</v>
      </c>
      <c r="I34" s="257">
        <f t="shared" si="4"/>
        <v>22367.503869856046</v>
      </c>
      <c r="J34" s="264">
        <f t="shared" si="5"/>
        <v>85</v>
      </c>
      <c r="K34" s="265">
        <f t="shared" si="14"/>
        <v>43528.5</v>
      </c>
      <c r="L34" s="253">
        <f t="shared" si="6"/>
        <v>43528.5</v>
      </c>
      <c r="M34" s="254">
        <f t="shared" si="7"/>
        <v>16878.154473223593</v>
      </c>
      <c r="N34" s="264">
        <f t="shared" si="8"/>
        <v>115</v>
      </c>
      <c r="O34" s="267">
        <f t="shared" si="15"/>
        <v>43558.5</v>
      </c>
      <c r="P34" s="256">
        <f t="shared" si="9"/>
        <v>43558.5</v>
      </c>
      <c r="Q34" s="268">
        <f t="shared" si="10"/>
        <v>12735.980737032991</v>
      </c>
    </row>
    <row r="35" spans="1:17" ht="15.95" customHeight="1" x14ac:dyDescent="0.25">
      <c r="A35" s="246"/>
      <c r="B35" s="259">
        <f t="shared" si="0"/>
        <v>26</v>
      </c>
      <c r="C35" s="260">
        <f t="shared" si="11"/>
        <v>43469.5</v>
      </c>
      <c r="D35" s="253">
        <f t="shared" si="1"/>
        <v>43469.5</v>
      </c>
      <c r="E35" s="261">
        <f t="shared" si="12"/>
        <v>29365.247540557906</v>
      </c>
      <c r="F35" s="259">
        <f t="shared" si="2"/>
        <v>56</v>
      </c>
      <c r="G35" s="262">
        <f t="shared" si="13"/>
        <v>43499.5</v>
      </c>
      <c r="H35" s="256">
        <f t="shared" si="3"/>
        <v>43499.5</v>
      </c>
      <c r="I35" s="257">
        <f t="shared" si="4"/>
        <v>22158.53798518535</v>
      </c>
      <c r="J35" s="259">
        <f t="shared" si="5"/>
        <v>86</v>
      </c>
      <c r="K35" s="260">
        <f t="shared" si="14"/>
        <v>43529.5</v>
      </c>
      <c r="L35" s="253">
        <f t="shared" si="6"/>
        <v>43529.5</v>
      </c>
      <c r="M35" s="254">
        <f t="shared" si="7"/>
        <v>16720.472216784638</v>
      </c>
      <c r="N35" s="259">
        <f t="shared" si="8"/>
        <v>116</v>
      </c>
      <c r="O35" s="262">
        <f t="shared" si="15"/>
        <v>43559.5</v>
      </c>
      <c r="P35" s="256">
        <f t="shared" si="9"/>
        <v>43559.5</v>
      </c>
      <c r="Q35" s="268">
        <f t="shared" si="10"/>
        <v>12616.996272009615</v>
      </c>
    </row>
    <row r="36" spans="1:17" s="296" customFormat="1" ht="15.95" customHeight="1" x14ac:dyDescent="0.25">
      <c r="A36" s="295"/>
      <c r="B36" s="264">
        <f t="shared" si="0"/>
        <v>27</v>
      </c>
      <c r="C36" s="265">
        <f t="shared" si="11"/>
        <v>43470.5</v>
      </c>
      <c r="D36" s="253">
        <f t="shared" si="1"/>
        <v>43470.5</v>
      </c>
      <c r="E36" s="266">
        <f t="shared" si="12"/>
        <v>29090.906024106604</v>
      </c>
      <c r="F36" s="264">
        <f t="shared" si="2"/>
        <v>57</v>
      </c>
      <c r="G36" s="267">
        <f t="shared" si="13"/>
        <v>43500.5</v>
      </c>
      <c r="H36" s="256">
        <f t="shared" si="3"/>
        <v>43500.5</v>
      </c>
      <c r="I36" s="257">
        <f t="shared" si="4"/>
        <v>21951.524340747186</v>
      </c>
      <c r="J36" s="264">
        <f t="shared" si="5"/>
        <v>87</v>
      </c>
      <c r="K36" s="265">
        <f t="shared" si="14"/>
        <v>43530.5</v>
      </c>
      <c r="L36" s="253">
        <f t="shared" si="6"/>
        <v>43530.5</v>
      </c>
      <c r="M36" s="254">
        <f t="shared" si="7"/>
        <v>16564.263089059794</v>
      </c>
      <c r="N36" s="264">
        <f t="shared" si="8"/>
        <v>117</v>
      </c>
      <c r="O36" s="267">
        <f t="shared" si="15"/>
        <v>43560.5</v>
      </c>
      <c r="P36" s="256">
        <f t="shared" si="9"/>
        <v>43560.5</v>
      </c>
      <c r="Q36" s="268">
        <f t="shared" si="10"/>
        <v>12499.123405944283</v>
      </c>
    </row>
    <row r="37" spans="1:17" ht="15.95" customHeight="1" x14ac:dyDescent="0.25">
      <c r="A37" s="246"/>
      <c r="B37" s="259">
        <f t="shared" si="0"/>
        <v>28</v>
      </c>
      <c r="C37" s="260">
        <f t="shared" si="11"/>
        <v>43471.5</v>
      </c>
      <c r="D37" s="253">
        <f t="shared" si="1"/>
        <v>43471.5</v>
      </c>
      <c r="E37" s="261">
        <f t="shared" si="12"/>
        <v>28819.127512361621</v>
      </c>
      <c r="F37" s="259">
        <f t="shared" si="2"/>
        <v>58</v>
      </c>
      <c r="G37" s="262">
        <f t="shared" si="13"/>
        <v>43501.5</v>
      </c>
      <c r="H37" s="256">
        <f t="shared" si="3"/>
        <v>43501.5</v>
      </c>
      <c r="I37" s="257">
        <f t="shared" si="4"/>
        <v>21746.444697957162</v>
      </c>
      <c r="J37" s="259">
        <f t="shared" si="5"/>
        <v>88</v>
      </c>
      <c r="K37" s="260">
        <f t="shared" si="14"/>
        <v>43531.5</v>
      </c>
      <c r="L37" s="253">
        <f t="shared" si="6"/>
        <v>43531.5</v>
      </c>
      <c r="M37" s="254">
        <f t="shared" si="7"/>
        <v>16409.513327510034</v>
      </c>
      <c r="N37" s="259">
        <f t="shared" si="8"/>
        <v>118</v>
      </c>
      <c r="O37" s="262">
        <f t="shared" si="15"/>
        <v>43561.5</v>
      </c>
      <c r="P37" s="256">
        <f t="shared" si="9"/>
        <v>43561.5</v>
      </c>
      <c r="Q37" s="268">
        <f t="shared" si="10"/>
        <v>12382.351753848969</v>
      </c>
    </row>
    <row r="38" spans="1:17" s="296" customFormat="1" ht="15.95" customHeight="1" x14ac:dyDescent="0.25">
      <c r="A38" s="295"/>
      <c r="B38" s="264">
        <f t="shared" si="0"/>
        <v>29</v>
      </c>
      <c r="C38" s="265">
        <f t="shared" si="11"/>
        <v>43472.5</v>
      </c>
      <c r="D38" s="253">
        <f t="shared" si="1"/>
        <v>43472.5</v>
      </c>
      <c r="E38" s="266">
        <f t="shared" si="12"/>
        <v>28549.888060740275</v>
      </c>
      <c r="F38" s="264">
        <f t="shared" si="2"/>
        <v>59</v>
      </c>
      <c r="G38" s="267">
        <f t="shared" si="13"/>
        <v>43502.5</v>
      </c>
      <c r="H38" s="256">
        <f t="shared" si="3"/>
        <v>43502.5</v>
      </c>
      <c r="I38" s="257">
        <f t="shared" si="4"/>
        <v>21543.280988622781</v>
      </c>
      <c r="J38" s="264">
        <f t="shared" si="5"/>
        <v>89</v>
      </c>
      <c r="K38" s="265">
        <f t="shared" si="14"/>
        <v>43532.5</v>
      </c>
      <c r="L38" s="253">
        <f t="shared" si="6"/>
        <v>43532.5</v>
      </c>
      <c r="M38" s="254">
        <f t="shared" si="7"/>
        <v>16256.209298171294</v>
      </c>
      <c r="N38" s="264">
        <f t="shared" si="8"/>
        <v>119</v>
      </c>
      <c r="O38" s="267">
        <f t="shared" si="15"/>
        <v>43562.5</v>
      </c>
      <c r="P38" s="256">
        <f t="shared" si="9"/>
        <v>43562.5</v>
      </c>
      <c r="Q38" s="268">
        <f t="shared" si="10"/>
        <v>12266.671027756238</v>
      </c>
    </row>
    <row r="39" spans="1:17" ht="15.95" customHeight="1" thickBot="1" x14ac:dyDescent="0.3">
      <c r="A39" s="246"/>
      <c r="B39" s="276">
        <f t="shared" si="0"/>
        <v>30</v>
      </c>
      <c r="C39" s="277">
        <f t="shared" si="11"/>
        <v>43473.5</v>
      </c>
      <c r="D39" s="278">
        <f t="shared" si="1"/>
        <v>43473.5</v>
      </c>
      <c r="E39" s="279">
        <f t="shared" si="12"/>
        <v>28283.163948359452</v>
      </c>
      <c r="F39" s="276">
        <f t="shared" si="2"/>
        <v>60</v>
      </c>
      <c r="G39" s="280">
        <f t="shared" si="13"/>
        <v>43503.5</v>
      </c>
      <c r="H39" s="281">
        <f t="shared" si="3"/>
        <v>43503.5</v>
      </c>
      <c r="I39" s="291">
        <f t="shared" si="4"/>
        <v>21342.015313351611</v>
      </c>
      <c r="J39" s="276">
        <f t="shared" si="5"/>
        <v>90</v>
      </c>
      <c r="K39" s="277">
        <f t="shared" si="14"/>
        <v>43533.5</v>
      </c>
      <c r="L39" s="293">
        <f t="shared" si="6"/>
        <v>43533.5</v>
      </c>
      <c r="M39" s="294">
        <f t="shared" si="7"/>
        <v>16104.337494453295</v>
      </c>
      <c r="N39" s="276">
        <f t="shared" si="8"/>
        <v>120</v>
      </c>
      <c r="O39" s="280">
        <f t="shared" si="15"/>
        <v>43563.5</v>
      </c>
      <c r="P39" s="281">
        <f t="shared" si="9"/>
        <v>43563.5</v>
      </c>
      <c r="Q39" s="291">
        <f t="shared" si="10"/>
        <v>12152.071035812838</v>
      </c>
    </row>
    <row r="40" spans="1:17" ht="13.5" thickTop="1" x14ac:dyDescent="0.2">
      <c r="C40" s="282"/>
      <c r="D40" s="282"/>
      <c r="G40" s="282"/>
      <c r="H40" s="282"/>
      <c r="K40" s="282"/>
      <c r="L40" s="282"/>
      <c r="O40" s="282"/>
      <c r="P40" s="282"/>
    </row>
    <row r="41" spans="1:17" ht="15.75" x14ac:dyDescent="0.25">
      <c r="E41" s="239" t="s">
        <v>119</v>
      </c>
      <c r="F41" s="238"/>
      <c r="G41" s="238"/>
    </row>
    <row r="42" spans="1:17" ht="18.75" x14ac:dyDescent="0.25">
      <c r="F42" s="238" t="s">
        <v>120</v>
      </c>
      <c r="G42" s="238"/>
      <c r="H42" s="238"/>
      <c r="J42" s="283" t="s">
        <v>121</v>
      </c>
      <c r="K42" s="238"/>
      <c r="L42" s="238" t="s">
        <v>122</v>
      </c>
    </row>
    <row r="43" spans="1:17" x14ac:dyDescent="0.2">
      <c r="C43" s="123" t="s">
        <v>50</v>
      </c>
    </row>
    <row r="46" spans="1:17" x14ac:dyDescent="0.2">
      <c r="J46" s="123" t="s">
        <v>50</v>
      </c>
    </row>
  </sheetData>
  <mergeCells count="4">
    <mergeCell ref="B5:C5"/>
    <mergeCell ref="E6:F6"/>
    <mergeCell ref="L6:M6"/>
    <mergeCell ref="P5:Q5"/>
  </mergeCells>
  <phoneticPr fontId="52" type="noConversion"/>
  <pageMargins left="0.7" right="0.7" top="0.75" bottom="0.75" header="0.3" footer="0.3"/>
  <pageSetup paperSize="3" scale="95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6"/>
  <sheetViews>
    <sheetView zoomScale="9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33" sqref="I33"/>
    </sheetView>
  </sheetViews>
  <sheetFormatPr defaultColWidth="11.85546875" defaultRowHeight="12.75" x14ac:dyDescent="0.2"/>
  <cols>
    <col min="1" max="1" width="2.7109375" style="4" customWidth="1"/>
    <col min="2" max="2" width="37.85546875" style="4" customWidth="1"/>
    <col min="3" max="3" width="14.85546875" style="5" customWidth="1"/>
    <col min="4" max="237" width="9.140625" style="5" customWidth="1"/>
    <col min="238" max="238" width="2.7109375" style="5" customWidth="1"/>
    <col min="239" max="239" width="37.85546875" style="5" customWidth="1"/>
    <col min="240" max="16384" width="11.85546875" style="5"/>
  </cols>
  <sheetData>
    <row r="1" spans="1:4" ht="18" x14ac:dyDescent="0.25">
      <c r="A1" s="111" t="s">
        <v>0</v>
      </c>
      <c r="B1" s="111"/>
      <c r="C1" s="111"/>
    </row>
    <row r="2" spans="1:4" ht="18" x14ac:dyDescent="0.25">
      <c r="A2" s="111" t="s">
        <v>7</v>
      </c>
      <c r="B2" s="111"/>
      <c r="C2" s="111"/>
    </row>
    <row r="3" spans="1:4" ht="13.5" thickBot="1" x14ac:dyDescent="0.25"/>
    <row r="4" spans="1:4" s="6" customFormat="1" ht="24" customHeight="1" thickTop="1" x14ac:dyDescent="0.2">
      <c r="A4" s="112" t="s">
        <v>1</v>
      </c>
      <c r="B4" s="113"/>
      <c r="C4" s="25"/>
    </row>
    <row r="5" spans="1:4" s="10" customFormat="1" ht="24" customHeight="1" x14ac:dyDescent="0.2">
      <c r="A5" s="7" t="s">
        <v>43</v>
      </c>
      <c r="B5" s="8"/>
      <c r="C5" s="9"/>
    </row>
    <row r="6" spans="1:4" s="12" customFormat="1" ht="24" customHeight="1" x14ac:dyDescent="0.2">
      <c r="A6" s="1">
        <v>1</v>
      </c>
      <c r="B6" s="11" t="s">
        <v>8</v>
      </c>
      <c r="C6" s="88"/>
    </row>
    <row r="7" spans="1:4" s="12" customFormat="1" ht="24" customHeight="1" x14ac:dyDescent="0.2">
      <c r="A7" s="1">
        <v>2</v>
      </c>
      <c r="B7" s="2" t="s">
        <v>9</v>
      </c>
      <c r="C7" s="88"/>
    </row>
    <row r="8" spans="1:4" s="12" customFormat="1" ht="24" customHeight="1" x14ac:dyDescent="0.2">
      <c r="A8" s="1">
        <v>3</v>
      </c>
      <c r="B8" s="2" t="s">
        <v>10</v>
      </c>
      <c r="C8" s="88"/>
    </row>
    <row r="9" spans="1:4" s="12" customFormat="1" ht="24" customHeight="1" x14ac:dyDescent="0.2">
      <c r="A9" s="1">
        <v>4</v>
      </c>
      <c r="B9" s="11" t="s">
        <v>172</v>
      </c>
      <c r="C9" s="88"/>
    </row>
    <row r="10" spans="1:4" s="12" customFormat="1" ht="24" customHeight="1" x14ac:dyDescent="0.2">
      <c r="A10" s="1">
        <v>5</v>
      </c>
      <c r="B10" s="2" t="s">
        <v>11</v>
      </c>
      <c r="C10" s="88"/>
    </row>
    <row r="11" spans="1:4" s="12" customFormat="1" ht="24" customHeight="1" x14ac:dyDescent="0.2">
      <c r="A11" s="1"/>
      <c r="B11" s="14" t="s">
        <v>12</v>
      </c>
      <c r="C11" s="26"/>
    </row>
    <row r="12" spans="1:4" s="12" customFormat="1" ht="24" customHeight="1" x14ac:dyDescent="0.2">
      <c r="A12" s="1"/>
      <c r="B12" s="14" t="s">
        <v>13</v>
      </c>
      <c r="C12" s="26"/>
    </row>
    <row r="13" spans="1:4" s="12" customFormat="1" ht="24" customHeight="1" x14ac:dyDescent="0.2">
      <c r="A13" s="1"/>
      <c r="B13" s="14" t="s">
        <v>14</v>
      </c>
      <c r="C13" s="18"/>
    </row>
    <row r="14" spans="1:4" s="12" customFormat="1" ht="24" customHeight="1" x14ac:dyDescent="0.2">
      <c r="A14" s="1"/>
      <c r="B14" s="14" t="s">
        <v>15</v>
      </c>
      <c r="C14" s="15"/>
      <c r="D14" s="16"/>
    </row>
    <row r="15" spans="1:4" s="12" customFormat="1" ht="24" customHeight="1" x14ac:dyDescent="0.2">
      <c r="A15" s="1"/>
      <c r="B15" s="14" t="s">
        <v>16</v>
      </c>
      <c r="C15" s="88"/>
    </row>
    <row r="16" spans="1:4" s="12" customFormat="1" ht="24" customHeight="1" x14ac:dyDescent="0.2">
      <c r="A16" s="1">
        <v>6</v>
      </c>
      <c r="B16" s="11" t="s">
        <v>17</v>
      </c>
      <c r="C16" s="13"/>
    </row>
    <row r="17" spans="1:3" s="12" customFormat="1" ht="24" customHeight="1" x14ac:dyDescent="0.2">
      <c r="A17" s="1"/>
      <c r="B17" s="14" t="s">
        <v>18</v>
      </c>
      <c r="C17" s="88"/>
    </row>
    <row r="18" spans="1:3" s="12" customFormat="1" ht="24" customHeight="1" x14ac:dyDescent="0.2">
      <c r="A18" s="1"/>
      <c r="B18" s="14" t="s">
        <v>19</v>
      </c>
      <c r="C18" s="88"/>
    </row>
    <row r="19" spans="1:3" s="12" customFormat="1" ht="24" customHeight="1" x14ac:dyDescent="0.2">
      <c r="A19" s="1"/>
      <c r="B19" s="14" t="s">
        <v>20</v>
      </c>
      <c r="C19" s="88"/>
    </row>
    <row r="20" spans="1:3" s="12" customFormat="1" ht="24" customHeight="1" x14ac:dyDescent="0.2">
      <c r="A20" s="1"/>
      <c r="B20" s="14" t="s">
        <v>21</v>
      </c>
      <c r="C20" s="88"/>
    </row>
    <row r="21" spans="1:3" s="12" customFormat="1" ht="24" customHeight="1" x14ac:dyDescent="0.2">
      <c r="A21" s="1">
        <v>7</v>
      </c>
      <c r="B21" s="2" t="s">
        <v>22</v>
      </c>
      <c r="C21" s="88"/>
    </row>
    <row r="22" spans="1:3" s="12" customFormat="1" ht="24" customHeight="1" x14ac:dyDescent="0.2">
      <c r="A22" s="1">
        <v>8</v>
      </c>
      <c r="B22" s="2" t="s">
        <v>23</v>
      </c>
      <c r="C22" s="88"/>
    </row>
    <row r="23" spans="1:3" s="12" customFormat="1" ht="24" customHeight="1" x14ac:dyDescent="0.2">
      <c r="A23" s="1">
        <v>9</v>
      </c>
      <c r="B23" s="17" t="s">
        <v>24</v>
      </c>
      <c r="C23" s="88"/>
    </row>
    <row r="24" spans="1:3" s="12" customFormat="1" ht="24" customHeight="1" x14ac:dyDescent="0.2">
      <c r="A24" s="1">
        <v>10</v>
      </c>
      <c r="B24" s="11" t="s">
        <v>25</v>
      </c>
      <c r="C24" s="88"/>
    </row>
    <row r="25" spans="1:3" s="12" customFormat="1" ht="24" customHeight="1" x14ac:dyDescent="0.2">
      <c r="A25" s="1">
        <v>11</v>
      </c>
      <c r="B25" s="2" t="s">
        <v>26</v>
      </c>
      <c r="C25" s="88"/>
    </row>
    <row r="26" spans="1:3" s="12" customFormat="1" ht="24" customHeight="1" x14ac:dyDescent="0.2">
      <c r="A26" s="1">
        <v>12</v>
      </c>
      <c r="B26" s="2" t="s">
        <v>35</v>
      </c>
      <c r="C26" s="88"/>
    </row>
    <row r="27" spans="1:3" s="12" customFormat="1" ht="24" customHeight="1" x14ac:dyDescent="0.2">
      <c r="A27" s="1">
        <v>13</v>
      </c>
      <c r="B27" s="2" t="s">
        <v>27</v>
      </c>
      <c r="C27" s="13"/>
    </row>
    <row r="28" spans="1:3" s="12" customFormat="1" ht="24" customHeight="1" x14ac:dyDescent="0.2">
      <c r="A28" s="1"/>
      <c r="B28" s="14" t="s">
        <v>28</v>
      </c>
      <c r="C28" s="26"/>
    </row>
    <row r="29" spans="1:3" s="12" customFormat="1" ht="24" customHeight="1" x14ac:dyDescent="0.2">
      <c r="A29" s="1"/>
      <c r="B29" s="14" t="s">
        <v>29</v>
      </c>
      <c r="C29" s="26"/>
    </row>
    <row r="30" spans="1:3" s="12" customFormat="1" ht="24" customHeight="1" x14ac:dyDescent="0.2">
      <c r="A30" s="1"/>
      <c r="B30" s="14" t="s">
        <v>30</v>
      </c>
      <c r="C30" s="26"/>
    </row>
    <row r="31" spans="1:3" s="12" customFormat="1" ht="24" customHeight="1" x14ac:dyDescent="0.2">
      <c r="A31" s="1"/>
      <c r="B31" s="14" t="s">
        <v>31</v>
      </c>
      <c r="C31" s="26"/>
    </row>
    <row r="32" spans="1:3" s="12" customFormat="1" ht="24" customHeight="1" x14ac:dyDescent="0.2">
      <c r="A32" s="1">
        <v>14</v>
      </c>
      <c r="B32" s="11" t="s">
        <v>32</v>
      </c>
      <c r="C32" s="88"/>
    </row>
    <row r="33" spans="1:3" s="12" customFormat="1" ht="24" customHeight="1" x14ac:dyDescent="0.2">
      <c r="A33" s="1"/>
      <c r="B33" s="14" t="s">
        <v>33</v>
      </c>
      <c r="C33" s="18"/>
    </row>
    <row r="34" spans="1:3" s="12" customFormat="1" ht="24" customHeight="1" thickBot="1" x14ac:dyDescent="0.25">
      <c r="A34" s="1"/>
      <c r="B34" s="14" t="s">
        <v>34</v>
      </c>
      <c r="C34" s="27"/>
    </row>
    <row r="35" spans="1:3" s="12" customFormat="1" ht="24" customHeight="1" thickBot="1" x14ac:dyDescent="0.25">
      <c r="A35" s="114" t="s">
        <v>5</v>
      </c>
      <c r="B35" s="115"/>
      <c r="C35" s="24"/>
    </row>
    <row r="36" spans="1:3" s="12" customFormat="1" ht="23.25" customHeight="1" thickTop="1" x14ac:dyDescent="0.2">
      <c r="A36" s="11"/>
      <c r="B36" s="11"/>
    </row>
    <row r="37" spans="1:3" s="12" customFormat="1" ht="16.5" customHeight="1" x14ac:dyDescent="0.2">
      <c r="A37" s="11"/>
    </row>
    <row r="38" spans="1:3" s="12" customFormat="1" ht="16.5" customHeight="1" x14ac:dyDescent="0.2">
      <c r="A38" s="11"/>
      <c r="B38" s="11"/>
    </row>
    <row r="39" spans="1:3" s="12" customFormat="1" ht="16.5" customHeight="1" x14ac:dyDescent="0.2">
      <c r="A39" s="11"/>
      <c r="B39" s="11"/>
    </row>
    <row r="40" spans="1:3" s="12" customFormat="1" ht="16.5" customHeight="1" x14ac:dyDescent="0.2">
      <c r="A40" s="11"/>
      <c r="B40" s="11"/>
    </row>
    <row r="41" spans="1:3" s="12" customFormat="1" ht="16.5" customHeight="1" x14ac:dyDescent="0.2">
      <c r="A41" s="11"/>
      <c r="B41" s="11"/>
    </row>
    <row r="42" spans="1:3" s="12" customFormat="1" ht="16.5" customHeight="1" x14ac:dyDescent="0.2">
      <c r="A42" s="11"/>
      <c r="B42" s="11"/>
    </row>
    <row r="43" spans="1:3" s="12" customFormat="1" ht="16.5" customHeight="1" x14ac:dyDescent="0.2">
      <c r="A43" s="11"/>
      <c r="B43" s="11"/>
    </row>
    <row r="44" spans="1:3" s="12" customFormat="1" ht="16.5" customHeight="1" x14ac:dyDescent="0.2">
      <c r="A44" s="11"/>
      <c r="B44" s="11"/>
    </row>
    <row r="45" spans="1:3" s="12" customFormat="1" ht="16.5" customHeight="1" x14ac:dyDescent="0.2">
      <c r="A45" s="11"/>
      <c r="B45" s="11"/>
    </row>
    <row r="46" spans="1:3" s="20" customFormat="1" ht="12" x14ac:dyDescent="0.2">
      <c r="A46" s="19"/>
      <c r="B46" s="19"/>
    </row>
    <row r="47" spans="1:3" s="20" customFormat="1" ht="12" x14ac:dyDescent="0.2">
      <c r="A47" s="19"/>
      <c r="B47" s="19"/>
    </row>
    <row r="48" spans="1:3" s="20" customFormat="1" ht="12" x14ac:dyDescent="0.2">
      <c r="A48" s="19"/>
      <c r="B48" s="19"/>
    </row>
    <row r="49" spans="1:2" s="20" customFormat="1" ht="12" x14ac:dyDescent="0.2">
      <c r="A49" s="19"/>
      <c r="B49" s="19"/>
    </row>
    <row r="50" spans="1:2" s="20" customFormat="1" ht="12" x14ac:dyDescent="0.2">
      <c r="A50" s="19"/>
      <c r="B50" s="19"/>
    </row>
    <row r="51" spans="1:2" s="20" customFormat="1" ht="12" x14ac:dyDescent="0.2">
      <c r="A51" s="19"/>
      <c r="B51" s="19"/>
    </row>
    <row r="52" spans="1:2" s="20" customFormat="1" ht="12" x14ac:dyDescent="0.2">
      <c r="A52" s="19"/>
      <c r="B52" s="19"/>
    </row>
    <row r="53" spans="1:2" s="20" customFormat="1" ht="12" x14ac:dyDescent="0.2">
      <c r="A53" s="19"/>
      <c r="B53" s="19"/>
    </row>
    <row r="54" spans="1:2" s="20" customFormat="1" ht="12" x14ac:dyDescent="0.2">
      <c r="A54" s="19"/>
      <c r="B54" s="19"/>
    </row>
    <row r="55" spans="1:2" s="20" customFormat="1" ht="12" x14ac:dyDescent="0.2">
      <c r="A55" s="19"/>
      <c r="B55" s="19"/>
    </row>
    <row r="56" spans="1:2" s="20" customFormat="1" ht="12" x14ac:dyDescent="0.2">
      <c r="A56" s="19"/>
      <c r="B56" s="19"/>
    </row>
  </sheetData>
  <mergeCells count="4">
    <mergeCell ref="A1:C1"/>
    <mergeCell ref="A2:C2"/>
    <mergeCell ref="A4:B4"/>
    <mergeCell ref="A35:B35"/>
  </mergeCells>
  <phoneticPr fontId="52" type="noConversion"/>
  <pageMargins left="0.75" right="0.5" top="1" bottom="1" header="0.5" footer="0.5"/>
  <pageSetup scale="81" orientation="portrait" horizontalDpi="4294967295" verticalDpi="4294967295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workbookViewId="0">
      <selection activeCell="D31" sqref="D31"/>
    </sheetView>
  </sheetViews>
  <sheetFormatPr defaultRowHeight="12.75" x14ac:dyDescent="0.2"/>
  <cols>
    <col min="1" max="1" width="30.85546875" customWidth="1"/>
    <col min="2" max="2" width="27.85546875" customWidth="1"/>
    <col min="3" max="3" width="20" style="5" customWidth="1"/>
    <col min="4" max="4" width="14.140625" customWidth="1"/>
  </cols>
  <sheetData>
    <row r="1" spans="1:4" ht="18" x14ac:dyDescent="0.25">
      <c r="A1" s="111" t="s">
        <v>0</v>
      </c>
      <c r="B1" s="111"/>
    </row>
    <row r="2" spans="1:4" ht="18" x14ac:dyDescent="0.25">
      <c r="A2" s="111" t="s">
        <v>40</v>
      </c>
      <c r="B2" s="111"/>
    </row>
    <row r="4" spans="1:4" s="21" customFormat="1" ht="18" customHeight="1" x14ac:dyDescent="0.2">
      <c r="A4" s="116" t="s">
        <v>144</v>
      </c>
      <c r="B4" s="22" t="s">
        <v>145</v>
      </c>
      <c r="C4" s="41"/>
    </row>
    <row r="5" spans="1:4" s="21" customFormat="1" ht="18" customHeight="1" x14ac:dyDescent="0.2">
      <c r="A5" s="116"/>
      <c r="B5" s="22" t="s">
        <v>41</v>
      </c>
      <c r="C5" s="23"/>
    </row>
    <row r="6" spans="1:4" s="21" customFormat="1" ht="18" customHeight="1" x14ac:dyDescent="0.2">
      <c r="A6" s="116"/>
      <c r="B6" s="22" t="s">
        <v>42</v>
      </c>
      <c r="C6" s="23"/>
    </row>
    <row r="7" spans="1:4" s="21" customFormat="1" ht="18" customHeight="1" x14ac:dyDescent="0.2">
      <c r="A7" s="116"/>
      <c r="B7" s="22" t="s">
        <v>146</v>
      </c>
      <c r="C7" s="23"/>
    </row>
    <row r="8" spans="1:4" s="21" customFormat="1" ht="18" customHeight="1" x14ac:dyDescent="0.2">
      <c r="A8" s="116" t="s">
        <v>139</v>
      </c>
      <c r="B8" s="22" t="s">
        <v>141</v>
      </c>
      <c r="C8" s="33"/>
    </row>
    <row r="9" spans="1:4" s="21" customFormat="1" ht="18" customHeight="1" x14ac:dyDescent="0.2">
      <c r="A9" s="116"/>
      <c r="B9" s="22" t="s">
        <v>140</v>
      </c>
      <c r="C9" s="33"/>
    </row>
    <row r="10" spans="1:4" s="21" customFormat="1" ht="18" customHeight="1" x14ac:dyDescent="0.2">
      <c r="A10" s="116"/>
      <c r="B10" s="32" t="s">
        <v>136</v>
      </c>
      <c r="C10" s="33"/>
    </row>
    <row r="11" spans="1:4" s="21" customFormat="1" ht="18" customHeight="1" x14ac:dyDescent="0.2">
      <c r="B11" s="28"/>
      <c r="C11" s="29"/>
    </row>
    <row r="12" spans="1:4" s="21" customFormat="1" ht="18" customHeight="1" x14ac:dyDescent="0.2">
      <c r="A12" s="117" t="s">
        <v>135</v>
      </c>
      <c r="B12" s="22" t="s">
        <v>137</v>
      </c>
      <c r="C12" s="33"/>
    </row>
    <row r="13" spans="1:4" s="21" customFormat="1" ht="18" customHeight="1" x14ac:dyDescent="0.2">
      <c r="A13" s="117"/>
      <c r="B13" s="22" t="s">
        <v>138</v>
      </c>
      <c r="C13" s="33"/>
    </row>
    <row r="14" spans="1:4" s="21" customFormat="1" ht="18" customHeight="1" x14ac:dyDescent="0.2">
      <c r="A14" s="117"/>
      <c r="B14" s="22" t="s">
        <v>142</v>
      </c>
      <c r="C14" s="33"/>
    </row>
    <row r="15" spans="1:4" s="21" customFormat="1" ht="18" customHeight="1" x14ac:dyDescent="0.2">
      <c r="A15" s="87" t="s">
        <v>147</v>
      </c>
      <c r="B15" s="22" t="s">
        <v>142</v>
      </c>
      <c r="C15" s="33"/>
      <c r="D15" s="42" t="str">
        <f>IF(C15="","",(IF(C14=C15,"PASS","FAIL")))</f>
        <v/>
      </c>
    </row>
    <row r="16" spans="1:4" ht="18" customHeight="1" x14ac:dyDescent="0.2"/>
    <row r="17" spans="1:6" ht="18" customHeight="1" x14ac:dyDescent="0.2">
      <c r="A17" s="117" t="s">
        <v>148</v>
      </c>
      <c r="B17" s="22" t="s">
        <v>149</v>
      </c>
      <c r="C17" s="33"/>
      <c r="D17" s="42" t="str">
        <f>IF(C17="","",(IF(C8-C15=C17,"PASS","FAIL")))</f>
        <v/>
      </c>
    </row>
    <row r="18" spans="1:6" ht="18" customHeight="1" x14ac:dyDescent="0.2">
      <c r="A18" s="117"/>
      <c r="B18" s="22" t="s">
        <v>140</v>
      </c>
      <c r="C18" s="33"/>
    </row>
    <row r="19" spans="1:6" ht="18" customHeight="1" x14ac:dyDescent="0.2">
      <c r="A19" s="34"/>
      <c r="B19" s="28"/>
      <c r="C19" s="29"/>
    </row>
    <row r="20" spans="1:6" ht="18" customHeight="1" x14ac:dyDescent="0.2">
      <c r="A20" s="117" t="s">
        <v>150</v>
      </c>
      <c r="B20" s="22" t="s">
        <v>145</v>
      </c>
      <c r="C20" s="41"/>
    </row>
    <row r="21" spans="1:6" ht="18" customHeight="1" x14ac:dyDescent="0.2">
      <c r="A21" s="117"/>
      <c r="B21" s="22" t="s">
        <v>41</v>
      </c>
      <c r="C21" s="23"/>
    </row>
    <row r="22" spans="1:6" ht="18" customHeight="1" x14ac:dyDescent="0.2">
      <c r="A22" s="117"/>
      <c r="B22" s="22" t="s">
        <v>42</v>
      </c>
      <c r="C22" s="23"/>
    </row>
    <row r="23" spans="1:6" ht="18" customHeight="1" x14ac:dyDescent="0.2">
      <c r="A23" s="117"/>
      <c r="B23" s="22" t="s">
        <v>151</v>
      </c>
      <c r="C23" s="35"/>
    </row>
    <row r="24" spans="1:6" ht="18" customHeight="1" x14ac:dyDescent="0.2">
      <c r="A24" s="116" t="s">
        <v>139</v>
      </c>
      <c r="B24" s="22" t="s">
        <v>149</v>
      </c>
      <c r="C24" s="43"/>
      <c r="D24" s="42" t="str">
        <f>IF(C24="","",(IF(ABS(C15-C24)&lt;0.2,"PASS","FAIL")))</f>
        <v/>
      </c>
    </row>
    <row r="25" spans="1:6" ht="18" customHeight="1" x14ac:dyDescent="0.2">
      <c r="A25" s="116"/>
      <c r="B25" s="22" t="s">
        <v>140</v>
      </c>
      <c r="C25" s="33"/>
      <c r="D25" s="42" t="str">
        <f>IF(C25="","",(IF(ABS(C25-(C9-C18))&lt;0.002,"PASS","FAIL")))</f>
        <v/>
      </c>
    </row>
    <row r="26" spans="1:6" ht="18" customHeight="1" x14ac:dyDescent="0.2">
      <c r="A26" s="36"/>
      <c r="B26" s="37"/>
      <c r="C26" s="38"/>
    </row>
    <row r="27" spans="1:6" x14ac:dyDescent="0.2">
      <c r="A27" s="117" t="s">
        <v>152</v>
      </c>
      <c r="B27" s="22" t="s">
        <v>149</v>
      </c>
      <c r="C27" s="43"/>
      <c r="D27" s="42" t="str">
        <f>IF(C27="","",(IF(C24=C27,"PASS","FAIL")))</f>
        <v/>
      </c>
    </row>
    <row r="28" spans="1:6" ht="18" customHeight="1" x14ac:dyDescent="0.2">
      <c r="A28" s="117"/>
      <c r="B28" s="22" t="s">
        <v>140</v>
      </c>
      <c r="C28" s="33"/>
      <c r="D28" s="42" t="str">
        <f>IF(C28="","",(IF(ABS(C9-(C28+C18))&lt;0.002,"PASS","FAIL")))</f>
        <v/>
      </c>
    </row>
    <row r="29" spans="1:6" ht="18" customHeight="1" x14ac:dyDescent="0.2">
      <c r="A29" s="21"/>
      <c r="B29" s="21"/>
      <c r="C29" s="29"/>
      <c r="D29" s="39"/>
      <c r="F29" s="40"/>
    </row>
    <row r="30" spans="1:6" ht="18" customHeight="1" x14ac:dyDescent="0.2">
      <c r="A30" s="31" t="s">
        <v>153</v>
      </c>
      <c r="B30" s="33"/>
      <c r="C30" s="30"/>
    </row>
    <row r="31" spans="1:6" ht="18" customHeight="1" x14ac:dyDescent="0.2"/>
    <row r="32" spans="1:6" ht="18" customHeight="1" x14ac:dyDescent="0.2">
      <c r="A32" t="s">
        <v>173</v>
      </c>
    </row>
    <row r="33" spans="3:3" x14ac:dyDescent="0.2">
      <c r="C33"/>
    </row>
    <row r="34" spans="3:3" ht="18" customHeight="1" x14ac:dyDescent="0.2">
      <c r="C34"/>
    </row>
    <row r="35" spans="3:3" ht="18" customHeight="1" x14ac:dyDescent="0.2">
      <c r="C35"/>
    </row>
    <row r="37" spans="3:3" x14ac:dyDescent="0.2">
      <c r="C37"/>
    </row>
    <row r="38" spans="3:3" x14ac:dyDescent="0.2">
      <c r="C38"/>
    </row>
  </sheetData>
  <mergeCells count="9">
    <mergeCell ref="A1:B1"/>
    <mergeCell ref="A2:B2"/>
    <mergeCell ref="A4:A7"/>
    <mergeCell ref="A8:A10"/>
    <mergeCell ref="A27:A28"/>
    <mergeCell ref="A17:A18"/>
    <mergeCell ref="A20:A23"/>
    <mergeCell ref="A24:A25"/>
    <mergeCell ref="A12:A14"/>
  </mergeCells>
  <phoneticPr fontId="5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"/>
  <sheetViews>
    <sheetView workbookViewId="0">
      <selection sqref="A1:XFD1048576"/>
    </sheetView>
  </sheetViews>
  <sheetFormatPr defaultRowHeight="15" x14ac:dyDescent="0.25"/>
  <cols>
    <col min="1" max="1" width="4" style="46" customWidth="1"/>
    <col min="2" max="2" width="46.7109375" style="46" customWidth="1"/>
    <col min="3" max="3" width="8.28515625" style="76" customWidth="1"/>
    <col min="4" max="5" width="18.85546875" style="46" customWidth="1"/>
    <col min="6" max="16384" width="9.140625" style="46"/>
  </cols>
  <sheetData>
    <row r="1" spans="1:23" ht="18" x14ac:dyDescent="0.25">
      <c r="A1" s="44" t="s">
        <v>0</v>
      </c>
      <c r="B1" s="44"/>
      <c r="C1" s="45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3" ht="18" x14ac:dyDescent="0.25">
      <c r="A2" s="44" t="s">
        <v>155</v>
      </c>
      <c r="B2" s="44"/>
      <c r="C2" s="45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1:23" ht="18.75" thickBot="1" x14ac:dyDescent="0.3">
      <c r="A3" s="44"/>
      <c r="B3" s="44"/>
      <c r="C3" s="45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1:23" s="51" customFormat="1" ht="21" customHeight="1" thickTop="1" thickBot="1" x14ac:dyDescent="0.3">
      <c r="A4" s="47"/>
      <c r="B4" s="47"/>
      <c r="C4" s="48"/>
      <c r="D4" s="49" t="s">
        <v>156</v>
      </c>
      <c r="E4" s="50" t="s">
        <v>157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</row>
    <row r="5" spans="1:23" ht="21" customHeight="1" thickTop="1" x14ac:dyDescent="0.25">
      <c r="A5" s="52">
        <v>1</v>
      </c>
      <c r="B5" s="53" t="s">
        <v>158</v>
      </c>
      <c r="C5" s="54" t="s">
        <v>159</v>
      </c>
      <c r="D5" s="55"/>
      <c r="E5" s="56"/>
    </row>
    <row r="6" spans="1:23" ht="21" customHeight="1" x14ac:dyDescent="0.25">
      <c r="A6" s="57">
        <v>2</v>
      </c>
      <c r="B6" s="58" t="s">
        <v>160</v>
      </c>
      <c r="C6" s="59" t="s">
        <v>159</v>
      </c>
      <c r="D6" s="77"/>
      <c r="E6" s="60"/>
    </row>
    <row r="7" spans="1:23" ht="21" customHeight="1" x14ac:dyDescent="0.25">
      <c r="A7" s="57">
        <v>3</v>
      </c>
      <c r="B7" s="58" t="s">
        <v>161</v>
      </c>
      <c r="C7" s="59"/>
      <c r="D7" s="61"/>
      <c r="E7" s="62"/>
    </row>
    <row r="8" spans="1:23" ht="21" customHeight="1" x14ac:dyDescent="0.25">
      <c r="A8" s="57"/>
      <c r="B8" s="63" t="s">
        <v>162</v>
      </c>
      <c r="C8" s="59" t="s">
        <v>163</v>
      </c>
      <c r="D8" s="64"/>
      <c r="E8" s="60"/>
    </row>
    <row r="9" spans="1:23" ht="21" customHeight="1" x14ac:dyDescent="0.25">
      <c r="A9" s="57"/>
      <c r="B9" s="63" t="s">
        <v>164</v>
      </c>
      <c r="C9" s="59" t="s">
        <v>163</v>
      </c>
      <c r="D9" s="64"/>
      <c r="E9" s="60"/>
    </row>
    <row r="10" spans="1:23" ht="21" customHeight="1" x14ac:dyDescent="0.25">
      <c r="A10" s="57">
        <v>4</v>
      </c>
      <c r="B10" s="58" t="s">
        <v>165</v>
      </c>
      <c r="C10" s="59"/>
      <c r="D10" s="61"/>
      <c r="E10" s="62"/>
    </row>
    <row r="11" spans="1:23" ht="21" customHeight="1" x14ac:dyDescent="0.25">
      <c r="A11" s="65"/>
      <c r="B11" s="63" t="s">
        <v>162</v>
      </c>
      <c r="C11" s="59" t="s">
        <v>163</v>
      </c>
      <c r="D11" s="64"/>
      <c r="E11" s="66"/>
    </row>
    <row r="12" spans="1:23" ht="21" customHeight="1" x14ac:dyDescent="0.25">
      <c r="A12" s="65"/>
      <c r="B12" s="63" t="s">
        <v>164</v>
      </c>
      <c r="C12" s="59" t="s">
        <v>163</v>
      </c>
      <c r="D12" s="64"/>
      <c r="E12" s="66"/>
    </row>
    <row r="13" spans="1:23" ht="21" customHeight="1" x14ac:dyDescent="0.25">
      <c r="A13" s="65">
        <v>5</v>
      </c>
      <c r="B13" s="67" t="s">
        <v>166</v>
      </c>
      <c r="C13" s="68"/>
      <c r="D13" s="61"/>
      <c r="E13" s="69"/>
    </row>
    <row r="14" spans="1:23" ht="21" customHeight="1" x14ac:dyDescent="0.25">
      <c r="A14" s="65"/>
      <c r="B14" s="70" t="s">
        <v>167</v>
      </c>
      <c r="C14" s="59" t="s">
        <v>163</v>
      </c>
      <c r="D14" s="64"/>
      <c r="E14" s="66"/>
    </row>
    <row r="15" spans="1:23" ht="21" customHeight="1" x14ac:dyDescent="0.25">
      <c r="A15" s="65"/>
      <c r="B15" s="70" t="s">
        <v>168</v>
      </c>
      <c r="C15" s="59" t="s">
        <v>163</v>
      </c>
      <c r="D15" s="64"/>
      <c r="E15" s="66"/>
    </row>
    <row r="16" spans="1:23" ht="21" customHeight="1" thickBot="1" x14ac:dyDescent="0.3">
      <c r="A16" s="71"/>
      <c r="B16" s="72" t="s">
        <v>169</v>
      </c>
      <c r="C16" s="73" t="s">
        <v>163</v>
      </c>
      <c r="D16" s="74"/>
      <c r="E16" s="75"/>
    </row>
    <row r="17" s="46" customFormat="1" ht="15.75" thickTop="1" x14ac:dyDescent="0.25"/>
  </sheetData>
  <phoneticPr fontId="52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HDR Quarterly QA</vt:lpstr>
      <vt:lpstr>Exit Dose Calibration</vt:lpstr>
      <vt:lpstr>New Source Calibration</vt:lpstr>
      <vt:lpstr>Decay Chart</vt:lpstr>
      <vt:lpstr>Daily Safety &amp; QA</vt:lpstr>
      <vt:lpstr>Power Failure Recovery</vt:lpstr>
      <vt:lpstr>Applicators &amp; Transfer Tubes</vt:lpstr>
    </vt:vector>
  </TitlesOfParts>
  <Company>KGH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Halsall, Tracy</dc:creator>
  <cp:lastModifiedBy>"gsalomon"</cp:lastModifiedBy>
  <cp:lastPrinted>2018-04-06T20:36:34Z</cp:lastPrinted>
  <dcterms:created xsi:type="dcterms:W3CDTF">2015-11-26T15:27:16Z</dcterms:created>
  <dcterms:modified xsi:type="dcterms:W3CDTF">2018-12-11T12:20:42Z</dcterms:modified>
</cp:coreProperties>
</file>