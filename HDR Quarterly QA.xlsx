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540" windowWidth="11715" windowHeight="13740" tabRatio="814" activeTab="9"/>
  </bookViews>
  <sheets>
    <sheet name="HDR Quarterly QA" sheetId="1" r:id="rId1"/>
    <sheet name="Source Receipt Survey" sheetId="11" r:id="rId2"/>
    <sheet name="Exit Dose Calibration" sheetId="7" r:id="rId3"/>
    <sheet name="New Source Calibration" sheetId="8" r:id="rId4"/>
    <sheet name="New Source Survey" sheetId="12" r:id="rId5"/>
    <sheet name="Decay Chart" sheetId="9" r:id="rId6"/>
    <sheet name="Daily Safety &amp; QA" sheetId="5" r:id="rId7"/>
    <sheet name="Power Failure Recovery" sheetId="6" r:id="rId8"/>
    <sheet name="Applicators &amp; Transfer Tubes" sheetId="10" r:id="rId9"/>
    <sheet name="Source Return Survey" sheetId="13" r:id="rId10"/>
  </sheets>
  <externalReferences>
    <externalReference r:id="rId11"/>
  </externalReferences>
  <calcPr calcId="145621"/>
</workbook>
</file>

<file path=xl/calcChain.xml><?xml version="1.0" encoding="utf-8"?>
<calcChain xmlns="http://schemas.openxmlformats.org/spreadsheetml/2006/main">
  <c r="D28" i="6" l="1"/>
  <c r="D27" i="6"/>
  <c r="D25" i="6"/>
  <c r="D24" i="6"/>
  <c r="C23" i="6"/>
  <c r="D17" i="6"/>
  <c r="D15" i="6"/>
  <c r="C33" i="5"/>
  <c r="C14" i="5"/>
  <c r="C13" i="5"/>
  <c r="C11" i="9"/>
  <c r="C12" i="9" s="1"/>
  <c r="B11" i="9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E10" i="9"/>
  <c r="D10" i="9"/>
  <c r="L6" i="9"/>
  <c r="E6" i="9"/>
  <c r="P5" i="9"/>
  <c r="L5" i="9"/>
  <c r="D5" i="9"/>
  <c r="B36" i="8"/>
  <c r="B37" i="8" s="1"/>
  <c r="D37" i="8" s="1"/>
  <c r="D39" i="8" s="1"/>
  <c r="E31" i="8"/>
  <c r="E28" i="8"/>
  <c r="E27" i="8"/>
  <c r="Q25" i="8"/>
  <c r="O25" i="8"/>
  <c r="N25" i="8"/>
  <c r="M25" i="8"/>
  <c r="L25" i="8"/>
  <c r="K25" i="8"/>
  <c r="J25" i="8"/>
  <c r="I25" i="8"/>
  <c r="F23" i="8"/>
  <c r="F22" i="8"/>
  <c r="C24" i="8" s="1"/>
  <c r="E30" i="8" s="1"/>
  <c r="E20" i="8"/>
  <c r="E26" i="8" s="1"/>
  <c r="B31" i="8" s="1"/>
  <c r="A19" i="8"/>
  <c r="F11" i="8"/>
  <c r="E6" i="8"/>
  <c r="E29" i="8" s="1"/>
  <c r="B6" i="8"/>
  <c r="B36" i="7"/>
  <c r="B37" i="7" s="1"/>
  <c r="D37" i="7" s="1"/>
  <c r="D39" i="7" s="1"/>
  <c r="E31" i="7"/>
  <c r="E28" i="7"/>
  <c r="Q25" i="7"/>
  <c r="O25" i="7"/>
  <c r="N25" i="7"/>
  <c r="M25" i="7"/>
  <c r="L25" i="7"/>
  <c r="K25" i="7"/>
  <c r="I25" i="7"/>
  <c r="F23" i="7"/>
  <c r="F22" i="7"/>
  <c r="C24" i="7" s="1"/>
  <c r="E30" i="7" s="1"/>
  <c r="A19" i="7"/>
  <c r="J18" i="7"/>
  <c r="J25" i="7" s="1"/>
  <c r="E18" i="7"/>
  <c r="E20" i="7" s="1"/>
  <c r="E26" i="7" s="1"/>
  <c r="F11" i="7"/>
  <c r="E27" i="7" s="1"/>
  <c r="B6" i="7"/>
  <c r="E6" i="7" s="1"/>
  <c r="E29" i="7" s="1"/>
  <c r="C13" i="9" l="1"/>
  <c r="D12" i="9"/>
  <c r="D11" i="9"/>
  <c r="E11" i="9"/>
  <c r="E12" i="9"/>
  <c r="E13" i="9"/>
  <c r="D40" i="8"/>
  <c r="B32" i="8"/>
  <c r="D32" i="8"/>
  <c r="B31" i="7"/>
  <c r="C14" i="9" l="1"/>
  <c r="D13" i="9"/>
  <c r="D42" i="8"/>
  <c r="F42" i="8" s="1"/>
  <c r="D41" i="8"/>
  <c r="F41" i="8" s="1"/>
  <c r="D40" i="7"/>
  <c r="B32" i="7"/>
  <c r="D32" i="7"/>
  <c r="C15" i="9" l="1"/>
  <c r="D14" i="9"/>
  <c r="E14" i="9"/>
  <c r="D42" i="7"/>
  <c r="F42" i="7" s="1"/>
  <c r="D41" i="7"/>
  <c r="F41" i="7" s="1"/>
  <c r="C16" i="9" l="1"/>
  <c r="D15" i="9"/>
  <c r="E15" i="9"/>
  <c r="D16" i="9" l="1"/>
  <c r="C17" i="9"/>
  <c r="E16" i="9"/>
  <c r="D17" i="9" l="1"/>
  <c r="C18" i="9"/>
  <c r="E17" i="9"/>
  <c r="D18" i="9" l="1"/>
  <c r="C19" i="9"/>
  <c r="E18" i="9"/>
  <c r="D19" i="9" l="1"/>
  <c r="C20" i="9"/>
  <c r="E19" i="9"/>
  <c r="D20" i="9" l="1"/>
  <c r="C21" i="9"/>
  <c r="E20" i="9"/>
  <c r="D21" i="9" l="1"/>
  <c r="C22" i="9"/>
  <c r="E21" i="9"/>
  <c r="C23" i="9" l="1"/>
  <c r="D22" i="9"/>
  <c r="E22" i="9"/>
  <c r="C24" i="9" l="1"/>
  <c r="D23" i="9"/>
  <c r="E23" i="9"/>
  <c r="C25" i="9" l="1"/>
  <c r="D24" i="9"/>
  <c r="E24" i="9"/>
  <c r="C26" i="9" l="1"/>
  <c r="D25" i="9"/>
  <c r="E25" i="9"/>
  <c r="C27" i="9" l="1"/>
  <c r="D26" i="9"/>
  <c r="E26" i="9"/>
  <c r="C28" i="9" l="1"/>
  <c r="D27" i="9"/>
  <c r="E27" i="9"/>
  <c r="C29" i="9" l="1"/>
  <c r="D28" i="9"/>
  <c r="E28" i="9"/>
  <c r="C30" i="9" l="1"/>
  <c r="D29" i="9"/>
  <c r="E29" i="9"/>
  <c r="D30" i="9" l="1"/>
  <c r="C31" i="9"/>
  <c r="E30" i="9"/>
  <c r="D31" i="9" l="1"/>
  <c r="C32" i="9"/>
  <c r="E31" i="9"/>
  <c r="D32" i="9" l="1"/>
  <c r="C33" i="9"/>
  <c r="E32" i="9"/>
  <c r="D33" i="9" l="1"/>
  <c r="C34" i="9"/>
  <c r="E33" i="9"/>
  <c r="D34" i="9" l="1"/>
  <c r="C35" i="9"/>
  <c r="E34" i="9"/>
  <c r="D35" i="9" l="1"/>
  <c r="C36" i="9"/>
  <c r="E35" i="9"/>
  <c r="C37" i="9" l="1"/>
  <c r="D36" i="9"/>
  <c r="E36" i="9"/>
  <c r="C38" i="9" l="1"/>
  <c r="D37" i="9"/>
  <c r="E37" i="9"/>
  <c r="C39" i="9" l="1"/>
  <c r="D38" i="9"/>
  <c r="E38" i="9"/>
  <c r="D39" i="9" l="1"/>
  <c r="G10" i="9"/>
  <c r="E39" i="9"/>
  <c r="G11" i="9" l="1"/>
  <c r="H10" i="9"/>
  <c r="I10" i="9"/>
  <c r="G12" i="9" l="1"/>
  <c r="H11" i="9"/>
  <c r="I11" i="9"/>
  <c r="G13" i="9" l="1"/>
  <c r="H12" i="9"/>
  <c r="I12" i="9"/>
  <c r="G14" i="9" l="1"/>
  <c r="H13" i="9"/>
  <c r="I13" i="9"/>
  <c r="G15" i="9" l="1"/>
  <c r="H14" i="9"/>
  <c r="I14" i="9"/>
  <c r="H15" i="9" l="1"/>
  <c r="G16" i="9"/>
  <c r="I15" i="9"/>
  <c r="H16" i="9" l="1"/>
  <c r="G17" i="9"/>
  <c r="I16" i="9"/>
  <c r="H17" i="9" l="1"/>
  <c r="G18" i="9"/>
  <c r="I17" i="9"/>
  <c r="H18" i="9" l="1"/>
  <c r="G19" i="9"/>
  <c r="I18" i="9"/>
  <c r="H19" i="9" l="1"/>
  <c r="G20" i="9"/>
  <c r="I19" i="9"/>
  <c r="H20" i="9" l="1"/>
  <c r="G21" i="9"/>
  <c r="I20" i="9"/>
  <c r="H21" i="9" l="1"/>
  <c r="G22" i="9"/>
  <c r="I21" i="9"/>
  <c r="G23" i="9" l="1"/>
  <c r="H22" i="9"/>
  <c r="I22" i="9"/>
  <c r="G24" i="9" l="1"/>
  <c r="H23" i="9"/>
  <c r="I23" i="9"/>
  <c r="G25" i="9" l="1"/>
  <c r="H24" i="9"/>
  <c r="I24" i="9"/>
  <c r="G26" i="9" l="1"/>
  <c r="H25" i="9"/>
  <c r="I25" i="9"/>
  <c r="G27" i="9" l="1"/>
  <c r="H26" i="9"/>
  <c r="I26" i="9"/>
  <c r="G28" i="9" l="1"/>
  <c r="H27" i="9"/>
  <c r="I27" i="9"/>
  <c r="G29" i="9" l="1"/>
  <c r="H28" i="9"/>
  <c r="I28" i="9"/>
  <c r="H29" i="9" l="1"/>
  <c r="G30" i="9"/>
  <c r="I29" i="9"/>
  <c r="H30" i="9" l="1"/>
  <c r="G31" i="9"/>
  <c r="I30" i="9"/>
  <c r="H31" i="9" l="1"/>
  <c r="G32" i="9"/>
  <c r="I31" i="9"/>
  <c r="H32" i="9" l="1"/>
  <c r="G33" i="9"/>
  <c r="I32" i="9"/>
  <c r="H33" i="9" l="1"/>
  <c r="G34" i="9"/>
  <c r="I33" i="9"/>
  <c r="H34" i="9" l="1"/>
  <c r="G35" i="9"/>
  <c r="I34" i="9"/>
  <c r="H35" i="9" l="1"/>
  <c r="G36" i="9"/>
  <c r="I35" i="9"/>
  <c r="G37" i="9" l="1"/>
  <c r="H36" i="9"/>
  <c r="I36" i="9"/>
  <c r="G38" i="9" l="1"/>
  <c r="H37" i="9"/>
  <c r="I37" i="9"/>
  <c r="G39" i="9" l="1"/>
  <c r="H38" i="9"/>
  <c r="I38" i="9"/>
  <c r="H39" i="9" l="1"/>
  <c r="K10" i="9"/>
  <c r="I39" i="9"/>
  <c r="K11" i="9" l="1"/>
  <c r="L10" i="9"/>
  <c r="M10" i="9"/>
  <c r="K12" i="9" l="1"/>
  <c r="L11" i="9"/>
  <c r="M11" i="9"/>
  <c r="K13" i="9" l="1"/>
  <c r="L12" i="9"/>
  <c r="M12" i="9"/>
  <c r="K14" i="9" l="1"/>
  <c r="L13" i="9"/>
  <c r="M13" i="9"/>
  <c r="K15" i="9" l="1"/>
  <c r="L14" i="9"/>
  <c r="M14" i="9"/>
  <c r="L15" i="9" l="1"/>
  <c r="K16" i="9"/>
  <c r="M15" i="9"/>
  <c r="L16" i="9" l="1"/>
  <c r="K17" i="9"/>
  <c r="M16" i="9"/>
  <c r="L17" i="9" l="1"/>
  <c r="K18" i="9"/>
  <c r="M17" i="9"/>
  <c r="L18" i="9" l="1"/>
  <c r="K19" i="9"/>
  <c r="M18" i="9"/>
  <c r="L19" i="9" l="1"/>
  <c r="K20" i="9"/>
  <c r="M19" i="9"/>
  <c r="L20" i="9" l="1"/>
  <c r="K21" i="9"/>
  <c r="M20" i="9"/>
  <c r="K22" i="9" l="1"/>
  <c r="L21" i="9"/>
  <c r="M21" i="9"/>
  <c r="K23" i="9" l="1"/>
  <c r="L22" i="9"/>
  <c r="M22" i="9"/>
  <c r="K24" i="9" l="1"/>
  <c r="L23" i="9"/>
  <c r="M23" i="9"/>
  <c r="K25" i="9" l="1"/>
  <c r="L24" i="9"/>
  <c r="M24" i="9"/>
  <c r="K26" i="9" l="1"/>
  <c r="L25" i="9"/>
  <c r="M25" i="9"/>
  <c r="K27" i="9" l="1"/>
  <c r="L26" i="9"/>
  <c r="M26" i="9"/>
  <c r="K28" i="9" l="1"/>
  <c r="L27" i="9"/>
  <c r="M27" i="9"/>
  <c r="K29" i="9" l="1"/>
  <c r="L28" i="9"/>
  <c r="M28" i="9"/>
  <c r="L29" i="9" l="1"/>
  <c r="K30" i="9"/>
  <c r="M29" i="9"/>
  <c r="L30" i="9" l="1"/>
  <c r="K31" i="9"/>
  <c r="M30" i="9"/>
  <c r="L31" i="9" l="1"/>
  <c r="K32" i="9"/>
  <c r="M31" i="9"/>
  <c r="L32" i="9" l="1"/>
  <c r="K33" i="9"/>
  <c r="M32" i="9"/>
  <c r="L33" i="9" l="1"/>
  <c r="K34" i="9"/>
  <c r="M33" i="9"/>
  <c r="L34" i="9" l="1"/>
  <c r="K35" i="9"/>
  <c r="M34" i="9"/>
  <c r="L35" i="9" l="1"/>
  <c r="K36" i="9"/>
  <c r="M35" i="9"/>
  <c r="K37" i="9" l="1"/>
  <c r="L36" i="9"/>
  <c r="M36" i="9"/>
  <c r="K38" i="9" l="1"/>
  <c r="L37" i="9"/>
  <c r="M37" i="9"/>
  <c r="K39" i="9" l="1"/>
  <c r="L38" i="9"/>
  <c r="M38" i="9"/>
  <c r="L39" i="9" l="1"/>
  <c r="O10" i="9"/>
  <c r="M39" i="9"/>
  <c r="O11" i="9" l="1"/>
  <c r="P10" i="9"/>
  <c r="Q10" i="9"/>
  <c r="O12" i="9" l="1"/>
  <c r="P11" i="9"/>
  <c r="Q11" i="9"/>
  <c r="O13" i="9" l="1"/>
  <c r="P12" i="9"/>
  <c r="Q12" i="9"/>
  <c r="O14" i="9" l="1"/>
  <c r="P13" i="9"/>
  <c r="Q13" i="9"/>
  <c r="O15" i="9" l="1"/>
  <c r="P14" i="9"/>
  <c r="Q14" i="9"/>
  <c r="P15" i="9" l="1"/>
  <c r="O16" i="9"/>
  <c r="Q15" i="9"/>
  <c r="P16" i="9" l="1"/>
  <c r="O17" i="9"/>
  <c r="Q16" i="9"/>
  <c r="P17" i="9" l="1"/>
  <c r="O18" i="9"/>
  <c r="Q17" i="9"/>
  <c r="P18" i="9" l="1"/>
  <c r="O19" i="9"/>
  <c r="Q18" i="9"/>
  <c r="P19" i="9" l="1"/>
  <c r="O20" i="9"/>
  <c r="Q19" i="9"/>
  <c r="P20" i="9" l="1"/>
  <c r="O21" i="9"/>
  <c r="Q20" i="9"/>
  <c r="O22" i="9" l="1"/>
  <c r="P21" i="9"/>
  <c r="Q21" i="9"/>
  <c r="O23" i="9" l="1"/>
  <c r="P22" i="9"/>
  <c r="Q22" i="9"/>
  <c r="O24" i="9" l="1"/>
  <c r="P23" i="9"/>
  <c r="Q23" i="9"/>
  <c r="O25" i="9" l="1"/>
  <c r="P24" i="9"/>
  <c r="Q24" i="9"/>
  <c r="O26" i="9" l="1"/>
  <c r="P25" i="9"/>
  <c r="Q25" i="9"/>
  <c r="O27" i="9" l="1"/>
  <c r="P26" i="9"/>
  <c r="Q26" i="9"/>
  <c r="O28" i="9" l="1"/>
  <c r="P27" i="9"/>
  <c r="Q27" i="9"/>
  <c r="O29" i="9" l="1"/>
  <c r="P28" i="9"/>
  <c r="Q28" i="9"/>
  <c r="P29" i="9" l="1"/>
  <c r="O30" i="9"/>
  <c r="Q29" i="9"/>
  <c r="P30" i="9" l="1"/>
  <c r="O31" i="9"/>
  <c r="Q30" i="9"/>
  <c r="P31" i="9" l="1"/>
  <c r="O32" i="9"/>
  <c r="Q31" i="9"/>
  <c r="P32" i="9" l="1"/>
  <c r="O33" i="9"/>
  <c r="Q32" i="9"/>
  <c r="P33" i="9" l="1"/>
  <c r="O34" i="9"/>
  <c r="Q33" i="9"/>
  <c r="P34" i="9" l="1"/>
  <c r="O35" i="9"/>
  <c r="Q34" i="9"/>
  <c r="O36" i="9" l="1"/>
  <c r="P35" i="9"/>
  <c r="Q35" i="9"/>
  <c r="O37" i="9" l="1"/>
  <c r="P36" i="9"/>
  <c r="Q36" i="9"/>
  <c r="O38" i="9" l="1"/>
  <c r="P37" i="9"/>
  <c r="Q37" i="9"/>
  <c r="O39" i="9" l="1"/>
  <c r="P38" i="9"/>
  <c r="Q38" i="9"/>
  <c r="P39" i="9" l="1"/>
  <c r="Q39" i="9"/>
</calcChain>
</file>

<file path=xl/comments1.xml><?xml version="1.0" encoding="utf-8"?>
<comments xmlns="http://schemas.openxmlformats.org/spreadsheetml/2006/main">
  <authors>
    <author>Avadhani</author>
    <author>cjoshi</author>
  </authors>
  <commentList>
    <comment ref="A2" authorId="0">
      <text>
        <r>
          <rPr>
            <b/>
            <sz val="22"/>
            <color indexed="81"/>
            <rFont val="Tahoma"/>
            <family val="2"/>
          </rPr>
          <t>Enter The Readings at YELLOW Colors</t>
        </r>
        <r>
          <rPr>
            <sz val="22"/>
            <color indexed="81"/>
            <rFont val="Tahoma"/>
            <family val="2"/>
          </rPr>
          <t xml:space="preserve">
</t>
        </r>
      </text>
    </comment>
    <comment ref="B4" authorId="1">
      <text>
        <r>
          <rPr>
            <b/>
            <sz val="10"/>
            <color indexed="81"/>
            <rFont val="Tahoma"/>
            <family val="2"/>
          </rPr>
          <t>cjoshi:</t>
        </r>
        <r>
          <rPr>
            <sz val="10"/>
            <color indexed="81"/>
            <rFont val="Tahoma"/>
            <family val="2"/>
          </rPr>
          <t xml:space="preserve">
enter date and time in correct format e.g
27 Aug 2008 17:00
</t>
        </r>
      </text>
    </comment>
    <comment ref="B35" authorId="1">
      <text>
        <r>
          <rPr>
            <b/>
            <sz val="10"/>
            <color indexed="81"/>
            <rFont val="Tahoma"/>
            <family val="2"/>
          </rPr>
          <t>cjoshi:</t>
        </r>
        <r>
          <rPr>
            <sz val="10"/>
            <color indexed="81"/>
            <rFont val="Tahoma"/>
            <family val="2"/>
          </rPr>
          <t xml:space="preserve">
cjoshi:
enter date and time in correct format e.g
15 Aug 2008 11:28</t>
        </r>
      </text>
    </comment>
    <comment ref="B36" authorId="1">
      <text>
        <r>
          <rPr>
            <b/>
            <sz val="10"/>
            <color indexed="81"/>
            <rFont val="Tahoma"/>
            <family val="2"/>
          </rPr>
          <t>cjoshi:</t>
        </r>
        <r>
          <rPr>
            <sz val="10"/>
            <color indexed="81"/>
            <rFont val="Tahoma"/>
            <family val="2"/>
          </rPr>
          <t xml:space="preserve">
cjoshi:
enter date and time in correct format e.g
15 Aug 2008 11:28</t>
        </r>
      </text>
    </comment>
    <comment ref="B37" authorId="1">
      <text>
        <r>
          <rPr>
            <b/>
            <sz val="10"/>
            <color indexed="81"/>
            <rFont val="Tahoma"/>
            <family val="2"/>
          </rPr>
          <t>cjoshi:</t>
        </r>
        <r>
          <rPr>
            <sz val="10"/>
            <color indexed="81"/>
            <rFont val="Tahoma"/>
            <family val="2"/>
          </rPr>
          <t xml:space="preserve">
time difference between Holland and Canada accounted for</t>
        </r>
      </text>
    </comment>
  </commentList>
</comments>
</file>

<file path=xl/comments2.xml><?xml version="1.0" encoding="utf-8"?>
<comments xmlns="http://schemas.openxmlformats.org/spreadsheetml/2006/main">
  <authors>
    <author>Avadhani</author>
    <author>cjoshi</author>
  </authors>
  <commentList>
    <comment ref="A2" authorId="0">
      <text>
        <r>
          <rPr>
            <b/>
            <sz val="22"/>
            <color indexed="81"/>
            <rFont val="Tahoma"/>
            <family val="2"/>
          </rPr>
          <t>Enter The Readings at YELLOW Colors</t>
        </r>
        <r>
          <rPr>
            <sz val="22"/>
            <color indexed="81"/>
            <rFont val="Tahoma"/>
            <family val="2"/>
          </rPr>
          <t xml:space="preserve">
</t>
        </r>
      </text>
    </comment>
    <comment ref="B4" authorId="1">
      <text>
        <r>
          <rPr>
            <b/>
            <sz val="10"/>
            <color indexed="81"/>
            <rFont val="Tahoma"/>
            <family val="2"/>
          </rPr>
          <t>cjoshi:</t>
        </r>
        <r>
          <rPr>
            <sz val="10"/>
            <color indexed="81"/>
            <rFont val="Tahoma"/>
            <family val="2"/>
          </rPr>
          <t xml:space="preserve">
enter date and time in correct format e.g
27 Aug 2008 17:00
</t>
        </r>
      </text>
    </comment>
    <comment ref="B35" authorId="1">
      <text>
        <r>
          <rPr>
            <b/>
            <sz val="10"/>
            <color indexed="81"/>
            <rFont val="Tahoma"/>
            <family val="2"/>
          </rPr>
          <t>cjoshi:</t>
        </r>
        <r>
          <rPr>
            <sz val="10"/>
            <color indexed="81"/>
            <rFont val="Tahoma"/>
            <family val="2"/>
          </rPr>
          <t xml:space="preserve">
cjoshi:
enter date and time in correct format e.g
15 Aug 2008 11:28</t>
        </r>
      </text>
    </comment>
    <comment ref="B36" authorId="1">
      <text>
        <r>
          <rPr>
            <b/>
            <sz val="10"/>
            <color indexed="81"/>
            <rFont val="Tahoma"/>
            <family val="2"/>
          </rPr>
          <t>cjoshi:</t>
        </r>
        <r>
          <rPr>
            <sz val="10"/>
            <color indexed="81"/>
            <rFont val="Tahoma"/>
            <family val="2"/>
          </rPr>
          <t xml:space="preserve">
cjoshi:
enter date and time in correct format e.g
15 Aug 2008 11:28</t>
        </r>
      </text>
    </comment>
    <comment ref="B37" authorId="1">
      <text>
        <r>
          <rPr>
            <b/>
            <sz val="10"/>
            <color indexed="81"/>
            <rFont val="Tahoma"/>
            <family val="2"/>
          </rPr>
          <t>cjoshi:</t>
        </r>
        <r>
          <rPr>
            <sz val="10"/>
            <color indexed="81"/>
            <rFont val="Tahoma"/>
            <family val="2"/>
          </rPr>
          <t xml:space="preserve">
time difference between Holland and Canada accounted for</t>
        </r>
      </text>
    </comment>
  </commentList>
</comments>
</file>

<file path=xl/comments3.xml><?xml version="1.0" encoding="utf-8"?>
<comments xmlns="http://schemas.openxmlformats.org/spreadsheetml/2006/main">
  <authors>
    <author>Halsall, Tracy</author>
  </authors>
  <commentList>
    <comment ref="C10" authorId="0">
      <text>
        <r>
          <rPr>
            <b/>
            <sz val="9"/>
            <color indexed="81"/>
            <rFont val="Tahoma"/>
            <family val="2"/>
          </rPr>
          <t>Halsall, Tracy:</t>
        </r>
        <r>
          <rPr>
            <sz val="9"/>
            <color indexed="81"/>
            <rFont val="Tahoma"/>
            <family val="2"/>
          </rPr>
          <t xml:space="preserve">
insert date and time in correct format
eg. 01 Dec 2015 12:00
(table will automatically populate)</t>
        </r>
      </text>
    </comment>
  </commentList>
</comments>
</file>

<file path=xl/sharedStrings.xml><?xml version="1.0" encoding="utf-8"?>
<sst xmlns="http://schemas.openxmlformats.org/spreadsheetml/2006/main" count="472" uniqueCount="251">
  <si>
    <t>HDR Brachytherapy</t>
  </si>
  <si>
    <t>Date:</t>
  </si>
  <si>
    <t>Daily QA tests</t>
  </si>
  <si>
    <t>Catheter obstruction test</t>
  </si>
  <si>
    <t>Source data verification</t>
  </si>
  <si>
    <t>SIGNATURE</t>
  </si>
  <si>
    <t>Quarterly QA Worksheet</t>
  </si>
  <si>
    <t>Pretreatment Safety &amp; QA Tests</t>
  </si>
  <si>
    <t>Startup</t>
  </si>
  <si>
    <t>Emergency equipment</t>
  </si>
  <si>
    <t>Survey meter</t>
  </si>
  <si>
    <t>Date, time &amp; source strength in treatment unit</t>
  </si>
  <si>
    <t>Expected Activity (U)</t>
  </si>
  <si>
    <t>Current Activity (U)</t>
  </si>
  <si>
    <t>Calculated dwell time of 60s</t>
  </si>
  <si>
    <t>Calculated dwell time of 15s</t>
  </si>
  <si>
    <t>Dwell times accurate</t>
  </si>
  <si>
    <t>Emergency off</t>
  </si>
  <si>
    <t>on TDU</t>
  </si>
  <si>
    <t>on wall inside treatment room</t>
  </si>
  <si>
    <t>on TCP (no radiation)</t>
  </si>
  <si>
    <t>on TCP (with radiation)</t>
  </si>
  <si>
    <t>Warning lights</t>
  </si>
  <si>
    <t>Room radiation monitors</t>
  </si>
  <si>
    <t>Treatment interrupt</t>
  </si>
  <si>
    <t>Door interlock / last person out</t>
  </si>
  <si>
    <t>Key switch</t>
  </si>
  <si>
    <t>Source positional accuracy</t>
  </si>
  <si>
    <t>Channel 1 - 200mm</t>
  </si>
  <si>
    <t>Channel 3 - 180mm</t>
  </si>
  <si>
    <t>Channel 3 - 220mm</t>
  </si>
  <si>
    <t>Channel 5 - 200mm</t>
  </si>
  <si>
    <t>Dwell time accuracy</t>
  </si>
  <si>
    <t>Expected dwell time (s)</t>
  </si>
  <si>
    <t>Measured dwell time (s)</t>
  </si>
  <si>
    <t>Transit tube misconnect interlock</t>
  </si>
  <si>
    <t>Exit dose calibration</t>
  </si>
  <si>
    <t>Source calibration</t>
  </si>
  <si>
    <t>Source position accuracy - part 1</t>
  </si>
  <si>
    <t>Records</t>
  </si>
  <si>
    <t>Power Failure Recovery</t>
  </si>
  <si>
    <t>Channel</t>
  </si>
  <si>
    <t>Dwell position</t>
  </si>
  <si>
    <t>DAILY SAFETY &amp; QA TESTS</t>
  </si>
  <si>
    <t xml:space="preserve">CCSEO Batch No.:  </t>
  </si>
  <si>
    <t>TDU:</t>
  </si>
  <si>
    <t>Flexitron B (FT 00107)</t>
  </si>
  <si>
    <t>Date and Time:</t>
  </si>
  <si>
    <t xml:space="preserve">HDR - 1000 Well-Type Ionization Chamber            Serial Number:  </t>
  </si>
  <si>
    <t>A021025 (245cc)</t>
  </si>
  <si>
    <r>
      <t>Date of Calibration:</t>
    </r>
    <r>
      <rPr>
        <sz val="9"/>
        <rFont val="Times New Roman"/>
        <family val="1"/>
      </rPr>
      <t xml:space="preserve"> March 1, 2014</t>
    </r>
  </si>
  <si>
    <t xml:space="preserve"> </t>
  </si>
  <si>
    <r>
      <t>Calibration Factor (C</t>
    </r>
    <r>
      <rPr>
        <b/>
        <vertAlign val="subscript"/>
        <sz val="9"/>
        <rFont val="Times New Roman"/>
        <family val="1"/>
      </rPr>
      <t>WC</t>
    </r>
    <r>
      <rPr>
        <b/>
        <sz val="9"/>
        <rFont val="Times New Roman"/>
        <family val="1"/>
      </rPr>
      <t>):</t>
    </r>
  </si>
  <si>
    <r>
      <t xml:space="preserve"> </t>
    </r>
    <r>
      <rPr>
        <b/>
        <sz val="9"/>
        <rFont val="Times New Roman"/>
        <family val="1"/>
      </rPr>
      <t>Gy m</t>
    </r>
    <r>
      <rPr>
        <b/>
        <vertAlign val="superscript"/>
        <sz val="9"/>
        <rFont val="Times New Roman"/>
        <family val="1"/>
      </rPr>
      <t>2</t>
    </r>
    <r>
      <rPr>
        <b/>
        <sz val="9"/>
        <rFont val="Times New Roman"/>
        <family val="1"/>
      </rPr>
      <t>h</t>
    </r>
    <r>
      <rPr>
        <b/>
        <vertAlign val="superscript"/>
        <sz val="9"/>
        <rFont val="Times New Roman"/>
        <family val="1"/>
      </rPr>
      <t>-1</t>
    </r>
    <r>
      <rPr>
        <b/>
        <sz val="9"/>
        <rFont val="Times New Roman"/>
        <family val="1"/>
      </rPr>
      <t>A</t>
    </r>
    <r>
      <rPr>
        <b/>
        <vertAlign val="superscript"/>
        <sz val="9"/>
        <rFont val="Times New Roman"/>
        <family val="1"/>
      </rPr>
      <t>-1</t>
    </r>
    <r>
      <rPr>
        <b/>
        <sz val="9"/>
        <rFont val="Times New Roman"/>
        <family val="1"/>
      </rPr>
      <t xml:space="preserve"> (or U/A)  =</t>
    </r>
  </si>
  <si>
    <r>
      <t xml:space="preserve"> </t>
    </r>
    <r>
      <rPr>
        <b/>
        <sz val="9"/>
        <rFont val="Symbol"/>
        <family val="1"/>
        <charset val="2"/>
      </rPr>
      <t>m</t>
    </r>
    <r>
      <rPr>
        <b/>
        <sz val="9"/>
        <rFont val="Times New Roman"/>
        <family val="1"/>
      </rPr>
      <t>Gy m</t>
    </r>
    <r>
      <rPr>
        <b/>
        <vertAlign val="superscript"/>
        <sz val="9"/>
        <rFont val="Times New Roman"/>
        <family val="1"/>
      </rPr>
      <t>2</t>
    </r>
    <r>
      <rPr>
        <b/>
        <sz val="9"/>
        <rFont val="Times New Roman"/>
        <family val="1"/>
      </rPr>
      <t>h</t>
    </r>
    <r>
      <rPr>
        <b/>
        <vertAlign val="superscript"/>
        <sz val="9"/>
        <rFont val="Times New Roman"/>
        <family val="1"/>
      </rPr>
      <t>-1</t>
    </r>
    <r>
      <rPr>
        <b/>
        <sz val="9"/>
        <rFont val="Times New Roman"/>
        <family val="1"/>
      </rPr>
      <t>/nA</t>
    </r>
    <r>
      <rPr>
        <b/>
        <vertAlign val="superscript"/>
        <sz val="9"/>
        <rFont val="Times New Roman"/>
        <family val="1"/>
      </rPr>
      <t>-1</t>
    </r>
    <r>
      <rPr>
        <b/>
        <sz val="9"/>
        <rFont val="Times New Roman"/>
        <family val="1"/>
      </rPr>
      <t xml:space="preserve"> (or U/A)</t>
    </r>
  </si>
  <si>
    <t xml:space="preserve">Electrometer Model:  Max 4000                         Serial Number: E021531  </t>
  </si>
  <si>
    <r>
      <t>Calibration Factor (C</t>
    </r>
    <r>
      <rPr>
        <b/>
        <vertAlign val="subscript"/>
        <sz val="9"/>
        <rFont val="Times New Roman"/>
        <family val="1"/>
      </rPr>
      <t>E</t>
    </r>
    <r>
      <rPr>
        <b/>
        <sz val="9"/>
        <rFont val="Times New Roman"/>
        <family val="1"/>
      </rPr>
      <t xml:space="preserve">): </t>
    </r>
  </si>
  <si>
    <t>nA/Rdg</t>
  </si>
  <si>
    <t>Bias Voltage: 302 V</t>
  </si>
  <si>
    <t>Temperature - Pressure Correction Factor:</t>
  </si>
  <si>
    <t>Temperature (°C):</t>
  </si>
  <si>
    <r>
      <t>C</t>
    </r>
    <r>
      <rPr>
        <b/>
        <vertAlign val="subscript"/>
        <sz val="8"/>
        <rFont val="Times New Roman"/>
        <family val="1"/>
      </rPr>
      <t xml:space="preserve">TP </t>
    </r>
    <r>
      <rPr>
        <b/>
        <sz val="8"/>
        <rFont val="Times New Roman"/>
        <family val="1"/>
      </rPr>
      <t>:</t>
    </r>
  </si>
  <si>
    <t>Final Measurements (at the location of sweetspot)</t>
  </si>
  <si>
    <t>full voltage</t>
  </si>
  <si>
    <t>1/2 voltage</t>
  </si>
  <si>
    <t>Leakage (nA)</t>
  </si>
  <si>
    <t>Rdgs (nA)</t>
  </si>
  <si>
    <t>Source Position (mm)</t>
  </si>
  <si>
    <t>Before Calibration</t>
  </si>
  <si>
    <t>After Calibration</t>
  </si>
  <si>
    <t>Average leakage (nA)</t>
  </si>
  <si>
    <t>Average</t>
  </si>
  <si>
    <r>
      <t>Pion Measurements:</t>
    </r>
    <r>
      <rPr>
        <b/>
        <sz val="10"/>
        <rFont val="Times New Roman"/>
        <family val="1"/>
      </rPr>
      <t xml:space="preserve">  (Charge 30 sec each)</t>
    </r>
  </si>
  <si>
    <t>Reading (full voltage) Q1: -300</t>
  </si>
  <si>
    <t>nC</t>
  </si>
  <si>
    <t>Reading (half voltage) Q2: -150</t>
  </si>
  <si>
    <r>
      <t>Pion = [(4/3) - (Q1/3Q2)]</t>
    </r>
    <r>
      <rPr>
        <b/>
        <vertAlign val="superscript"/>
        <sz val="10"/>
        <rFont val="Times New Roman"/>
        <family val="1"/>
      </rPr>
      <t>-1</t>
    </r>
    <r>
      <rPr>
        <b/>
        <sz val="10"/>
        <rFont val="Times New Roman"/>
        <family val="1"/>
      </rPr>
      <t xml:space="preserve"> =</t>
    </r>
  </si>
  <si>
    <r>
      <t>Source Strength Calculations:  Sk (</t>
    </r>
    <r>
      <rPr>
        <b/>
        <sz val="12"/>
        <rFont val="Symbol"/>
        <family val="1"/>
        <charset val="2"/>
      </rPr>
      <t>m</t>
    </r>
    <r>
      <rPr>
        <b/>
        <sz val="12"/>
        <rFont val="Times New Roman"/>
        <family val="1"/>
      </rPr>
      <t>Gy 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h</t>
    </r>
    <r>
      <rPr>
        <b/>
        <vertAlign val="superscript"/>
        <sz val="12"/>
        <rFont val="Times New Roman"/>
        <family val="1"/>
      </rPr>
      <t>-1</t>
    </r>
    <r>
      <rPr>
        <b/>
        <sz val="12"/>
        <rFont val="Times New Roman"/>
        <family val="1"/>
      </rPr>
      <t>) = R x C</t>
    </r>
    <r>
      <rPr>
        <b/>
        <vertAlign val="subscript"/>
        <sz val="12"/>
        <rFont val="Times New Roman"/>
        <family val="1"/>
      </rPr>
      <t>TP</t>
    </r>
    <r>
      <rPr>
        <b/>
        <sz val="12"/>
        <rFont val="Times New Roman"/>
        <family val="1"/>
      </rPr>
      <t xml:space="preserve"> x C</t>
    </r>
    <r>
      <rPr>
        <b/>
        <vertAlign val="subscript"/>
        <sz val="12"/>
        <rFont val="Times New Roman"/>
        <family val="1"/>
      </rPr>
      <t>E</t>
    </r>
    <r>
      <rPr>
        <b/>
        <sz val="12"/>
        <rFont val="Times New Roman"/>
        <family val="1"/>
      </rPr>
      <t xml:space="preserve"> x C</t>
    </r>
    <r>
      <rPr>
        <b/>
        <vertAlign val="subscript"/>
        <sz val="12"/>
        <rFont val="Times New Roman"/>
        <family val="1"/>
      </rPr>
      <t>wc</t>
    </r>
    <r>
      <rPr>
        <b/>
        <sz val="12"/>
        <rFont val="Times New Roman"/>
        <family val="1"/>
      </rPr>
      <t xml:space="preserve"> x Pion</t>
    </r>
  </si>
  <si>
    <t>R   =</t>
  </si>
  <si>
    <t>Avg. Reading at full voltage at position of max. response</t>
  </si>
  <si>
    <r>
      <t>C</t>
    </r>
    <r>
      <rPr>
        <b/>
        <vertAlign val="subscript"/>
        <sz val="9"/>
        <rFont val="Times New Roman"/>
        <family val="1"/>
      </rPr>
      <t xml:space="preserve">TP </t>
    </r>
    <r>
      <rPr>
        <b/>
        <sz val="9"/>
        <rFont val="Times New Roman"/>
        <family val="1"/>
      </rPr>
      <t>=</t>
    </r>
  </si>
  <si>
    <t>Temperature and pressure correction factor</t>
  </si>
  <si>
    <r>
      <t>C</t>
    </r>
    <r>
      <rPr>
        <b/>
        <vertAlign val="subscript"/>
        <sz val="9"/>
        <rFont val="Times New Roman"/>
        <family val="1"/>
      </rPr>
      <t xml:space="preserve">E </t>
    </r>
    <r>
      <rPr>
        <b/>
        <sz val="9"/>
        <rFont val="Times New Roman"/>
        <family val="1"/>
      </rPr>
      <t xml:space="preserve"> =</t>
    </r>
  </si>
  <si>
    <t>Electrometer Calibration Factor</t>
  </si>
  <si>
    <t>Cwc =</t>
  </si>
  <si>
    <t>Well-chambered calibration factor</t>
  </si>
  <si>
    <r>
      <t>P</t>
    </r>
    <r>
      <rPr>
        <b/>
        <vertAlign val="subscript"/>
        <sz val="9"/>
        <rFont val="Times New Roman"/>
        <family val="1"/>
      </rPr>
      <t xml:space="preserve">ion </t>
    </r>
    <r>
      <rPr>
        <b/>
        <sz val="9"/>
        <rFont val="Times New Roman"/>
        <family val="1"/>
      </rPr>
      <t xml:space="preserve"> =</t>
    </r>
  </si>
  <si>
    <t>Recombination Corr. Factor</t>
  </si>
  <si>
    <r>
      <t>Calculated S</t>
    </r>
    <r>
      <rPr>
        <b/>
        <vertAlign val="subscript"/>
        <sz val="10"/>
        <rFont val="Times New Roman"/>
        <family val="1"/>
      </rPr>
      <t>K</t>
    </r>
    <r>
      <rPr>
        <b/>
        <sz val="10"/>
        <rFont val="Times New Roman"/>
        <family val="1"/>
      </rPr>
      <t xml:space="preserve">  =</t>
    </r>
  </si>
  <si>
    <r>
      <t>(</t>
    </r>
    <r>
      <rPr>
        <b/>
        <sz val="10"/>
        <rFont val="Symbol"/>
        <family val="1"/>
        <charset val="2"/>
      </rPr>
      <t>m</t>
    </r>
    <r>
      <rPr>
        <b/>
        <sz val="10"/>
        <rFont val="Times New Roman"/>
        <family val="1"/>
      </rPr>
      <t>Gy m</t>
    </r>
    <r>
      <rPr>
        <b/>
        <vertAlign val="superscript"/>
        <sz val="10"/>
        <rFont val="Times New Roman"/>
        <family val="1"/>
      </rPr>
      <t>2</t>
    </r>
    <r>
      <rPr>
        <b/>
        <sz val="10"/>
        <rFont val="Times New Roman"/>
        <family val="1"/>
      </rPr>
      <t>h</t>
    </r>
    <r>
      <rPr>
        <b/>
        <vertAlign val="superscript"/>
        <sz val="10"/>
        <rFont val="Times New Roman"/>
        <family val="1"/>
      </rPr>
      <t>-1</t>
    </r>
    <r>
      <rPr>
        <b/>
        <sz val="10"/>
        <rFont val="Times New Roman"/>
        <family val="1"/>
      </rPr>
      <t>)</t>
    </r>
  </si>
  <si>
    <t xml:space="preserve"> =</t>
  </si>
  <si>
    <t>GBq   =</t>
  </si>
  <si>
    <t>Curies</t>
  </si>
  <si>
    <t>at Calibration</t>
  </si>
  <si>
    <t xml:space="preserve">Manufaturer's Calibration: </t>
  </si>
  <si>
    <t>Activity stated by manufacturer</t>
  </si>
  <si>
    <t>Manufacturer's source strength on</t>
  </si>
  <si>
    <t>Date and Time(Local):</t>
  </si>
  <si>
    <t>Decay Factor</t>
  </si>
  <si>
    <r>
      <t>U (</t>
    </r>
    <r>
      <rPr>
        <b/>
        <sz val="10"/>
        <rFont val="Symbol"/>
        <family val="1"/>
        <charset val="2"/>
      </rPr>
      <t>m</t>
    </r>
    <r>
      <rPr>
        <b/>
        <sz val="10"/>
        <rFont val="Times New Roman"/>
        <family val="1"/>
      </rPr>
      <t>Gy m</t>
    </r>
    <r>
      <rPr>
        <b/>
        <vertAlign val="superscript"/>
        <sz val="10"/>
        <rFont val="Times New Roman"/>
        <family val="1"/>
      </rPr>
      <t>2</t>
    </r>
    <r>
      <rPr>
        <b/>
        <sz val="10"/>
        <rFont val="Times New Roman"/>
        <family val="1"/>
      </rPr>
      <t>h</t>
    </r>
    <r>
      <rPr>
        <b/>
        <vertAlign val="superscript"/>
        <sz val="10"/>
        <rFont val="Times New Roman"/>
        <family val="1"/>
      </rPr>
      <t>-1</t>
    </r>
    <r>
      <rPr>
        <b/>
        <sz val="10"/>
        <rFont val="Times New Roman"/>
        <family val="1"/>
      </rPr>
      <t>)</t>
    </r>
  </si>
  <si>
    <t>Activity on Console</t>
  </si>
  <si>
    <r>
      <t>U (</t>
    </r>
    <r>
      <rPr>
        <sz val="10"/>
        <rFont val="Symbol"/>
        <family val="1"/>
        <charset val="2"/>
      </rPr>
      <t>m</t>
    </r>
    <r>
      <rPr>
        <sz val="10"/>
        <rFont val="Times New Roman"/>
        <family val="1"/>
      </rPr>
      <t>Gy 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h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)</t>
    </r>
  </si>
  <si>
    <t>Activity at present, Manufacturer's calibration</t>
  </si>
  <si>
    <t>Activity Calculated at present, CCSEO calibration</t>
  </si>
  <si>
    <r>
      <t>% Variation WRT console (%VAR</t>
    </r>
    <r>
      <rPr>
        <b/>
        <vertAlign val="subscript"/>
        <sz val="9"/>
        <rFont val="Times New Roman"/>
        <family val="1"/>
      </rPr>
      <t>1</t>
    </r>
    <r>
      <rPr>
        <b/>
        <sz val="9"/>
        <rFont val="Times New Roman"/>
        <family val="1"/>
      </rPr>
      <t>)*</t>
    </r>
  </si>
  <si>
    <t>%</t>
  </si>
  <si>
    <r>
      <t>% Variation WRT Manufacturer's calibration (%VAR</t>
    </r>
    <r>
      <rPr>
        <b/>
        <vertAlign val="subscript"/>
        <sz val="9"/>
        <rFont val="Times New Roman"/>
        <family val="1"/>
      </rPr>
      <t>2</t>
    </r>
    <r>
      <rPr>
        <b/>
        <sz val="9"/>
        <rFont val="Times New Roman"/>
        <family val="1"/>
      </rPr>
      <t>)*</t>
    </r>
  </si>
  <si>
    <t xml:space="preserve">Signature: </t>
  </si>
  <si>
    <t xml:space="preserve">Date:  </t>
  </si>
  <si>
    <t>Flexisource No.:</t>
  </si>
  <si>
    <t>Determination of Sweet spot</t>
  </si>
  <si>
    <r>
      <t xml:space="preserve">NEW Src Calibration of </t>
    </r>
    <r>
      <rPr>
        <b/>
        <u/>
        <vertAlign val="superscript"/>
        <sz val="11"/>
        <rFont val="Times New Roman"/>
        <family val="1"/>
      </rPr>
      <t>192</t>
    </r>
    <r>
      <rPr>
        <b/>
        <u/>
        <sz val="11"/>
        <rFont val="Times New Roman"/>
        <family val="1"/>
      </rPr>
      <t>Ir HDR Source (Flexisource)</t>
    </r>
  </si>
  <si>
    <r>
      <t xml:space="preserve">EXIT Src Calibration of </t>
    </r>
    <r>
      <rPr>
        <b/>
        <u/>
        <vertAlign val="superscript"/>
        <sz val="11"/>
        <rFont val="Times New Roman"/>
        <family val="1"/>
      </rPr>
      <t>192</t>
    </r>
    <r>
      <rPr>
        <b/>
        <u/>
        <sz val="11"/>
        <rFont val="Times New Roman"/>
        <family val="1"/>
      </rPr>
      <t>Ir HDR Source (Flexisource)</t>
    </r>
  </si>
  <si>
    <t>Department of Medical Physics, Cancer Centre of South Eastern Ontario @ KGH</t>
  </si>
  <si>
    <t>Iridium-192 HDR Brachytherapy Source (Flexisource) Decay Chart</t>
  </si>
  <si>
    <t>Day</t>
  </si>
  <si>
    <t>Date</t>
  </si>
  <si>
    <t>*Source Strength</t>
  </si>
  <si>
    <t>Number</t>
  </si>
  <si>
    <t>(At 12:00)</t>
  </si>
  <si>
    <t>(U)</t>
  </si>
  <si>
    <r>
      <t xml:space="preserve">* NOTE: Source Air Kerma Strength (U) must be within </t>
    </r>
    <r>
      <rPr>
        <b/>
        <sz val="12"/>
        <rFont val="Symbol"/>
        <family val="1"/>
        <charset val="2"/>
      </rPr>
      <t>±</t>
    </r>
    <r>
      <rPr>
        <b/>
        <sz val="12"/>
        <rFont val="Times New Roman"/>
        <family val="1"/>
      </rPr>
      <t>100 U of the source strength value on the treatment delivery unit (TDU)</t>
    </r>
  </si>
  <si>
    <r>
      <t>1 U  = 1cGy.cm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.h</t>
    </r>
    <r>
      <rPr>
        <b/>
        <vertAlign val="superscript"/>
        <sz val="12"/>
        <rFont val="Times New Roman"/>
        <family val="1"/>
      </rPr>
      <t>-1</t>
    </r>
    <r>
      <rPr>
        <b/>
        <sz val="12"/>
        <rFont val="Times New Roman"/>
        <family val="1"/>
      </rPr>
      <t xml:space="preserve"> = 1</t>
    </r>
    <r>
      <rPr>
        <b/>
        <sz val="12"/>
        <rFont val="Symbol"/>
        <family val="1"/>
        <charset val="2"/>
      </rPr>
      <t>m</t>
    </r>
    <r>
      <rPr>
        <b/>
        <sz val="12"/>
        <rFont val="Times New Roman"/>
        <family val="1"/>
      </rPr>
      <t>Gy.m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>.h</t>
    </r>
    <r>
      <rPr>
        <b/>
        <vertAlign val="superscript"/>
        <sz val="12"/>
        <rFont val="Times New Roman"/>
        <family val="1"/>
      </rPr>
      <t>-1</t>
    </r>
  </si>
  <si>
    <t xml:space="preserve"> 1 Curie = 4070 U</t>
  </si>
  <si>
    <t xml:space="preserve"> 1 GBq = 110 U</t>
  </si>
  <si>
    <t>Date and Time (CET):</t>
  </si>
  <si>
    <t>CCSEO Batch Number:</t>
  </si>
  <si>
    <t>Date of source installation @ CCSEO:</t>
  </si>
  <si>
    <t>Date &amp; Time (CET) of Calibration</t>
  </si>
  <si>
    <t>GBq</t>
  </si>
  <si>
    <t>Manufacturer's Calibration:</t>
  </si>
  <si>
    <t>Flexisource No:</t>
  </si>
  <si>
    <t>Radiation survey forms complete</t>
  </si>
  <si>
    <t>Daily pre-treatment QA records complete</t>
  </si>
  <si>
    <t>Decay chart complete &amp; posted</t>
  </si>
  <si>
    <t>Source position accuracy - part 2 autoradiograph</t>
  </si>
  <si>
    <t>Battery check in Flashlight</t>
  </si>
  <si>
    <t>TCP at time of interruption</t>
  </si>
  <si>
    <t>AK Strength</t>
  </si>
  <si>
    <t>Last Channel</t>
  </si>
  <si>
    <t>Last Dwell</t>
  </si>
  <si>
    <t>Treatment Details (Actualized)</t>
  </si>
  <si>
    <t>TRAK</t>
  </si>
  <si>
    <t>Radiation Time (sec)</t>
  </si>
  <si>
    <t>Remaining Time (sec)</t>
  </si>
  <si>
    <t>Power failure recovery</t>
  </si>
  <si>
    <t>"Terminate" QA Plan</t>
  </si>
  <si>
    <t>Plan Name</t>
  </si>
  <si>
    <t>Dwell time (sec)</t>
  </si>
  <si>
    <t>TCP at time of reset</t>
  </si>
  <si>
    <t>Treatment Details (Delivered) for "Terminated" Plan</t>
  </si>
  <si>
    <t>Radiation time (sec)</t>
  </si>
  <si>
    <t>"Recovery" QA Plan</t>
  </si>
  <si>
    <t>Calculated dwell time for 40700U</t>
  </si>
  <si>
    <t>Treatment Details (Delivered) for "Recovery" Plan</t>
  </si>
  <si>
    <t>Performed by:</t>
  </si>
  <si>
    <t>Mechanical integrity of applicators &amp; transfer tubes</t>
  </si>
  <si>
    <t>Mechanical Integrity of Applicators &amp; Transfer Tubes</t>
  </si>
  <si>
    <t>Date Completed</t>
  </si>
  <si>
    <t>Completed By</t>
  </si>
  <si>
    <t>Flexible implant transfer tubes</t>
  </si>
  <si>
    <t>(Physics)</t>
  </si>
  <si>
    <t>Lung Catheter</t>
  </si>
  <si>
    <t>Cervix-CT/MR Ring Applicator</t>
  </si>
  <si>
    <t>Set 1</t>
  </si>
  <si>
    <t>(RT)</t>
  </si>
  <si>
    <t>Set 2</t>
  </si>
  <si>
    <t>Vaginal Vault Stainless Steel Applicator</t>
  </si>
  <si>
    <t>Bonvoisin-Gerard Esophageal Applicator</t>
  </si>
  <si>
    <t>6mm</t>
  </si>
  <si>
    <t>8mm</t>
  </si>
  <si>
    <t>10mm</t>
  </si>
  <si>
    <r>
      <t>192</t>
    </r>
    <r>
      <rPr>
        <b/>
        <sz val="14"/>
        <color indexed="8"/>
        <rFont val="Arial Narrow"/>
        <family val="2"/>
      </rPr>
      <t xml:space="preserve">Ir HDR SOURCE </t>
    </r>
    <r>
      <rPr>
        <b/>
        <u val="double"/>
        <sz val="14"/>
        <color indexed="8"/>
        <rFont val="Arial Narrow"/>
        <family val="2"/>
      </rPr>
      <t>RECEIPT</t>
    </r>
    <r>
      <rPr>
        <b/>
        <sz val="14"/>
        <color indexed="8"/>
        <rFont val="Arial Narrow"/>
        <family val="2"/>
      </rPr>
      <t xml:space="preserve"> RADIATION SURVEY FORM</t>
    </r>
  </si>
  <si>
    <t>Date of Receipt:</t>
  </si>
  <si>
    <r>
      <t>192</t>
    </r>
    <r>
      <rPr>
        <b/>
        <sz val="12"/>
        <color indexed="8"/>
        <rFont val="Arial Narrow"/>
        <family val="2"/>
      </rPr>
      <t>Ir Source Information from Manufacturer</t>
    </r>
  </si>
  <si>
    <t>Serial Number:</t>
  </si>
  <si>
    <t>Source Strength:</t>
  </si>
  <si>
    <t>RADIATION SURVEY UPON NEW SOURCE RECEIPT</t>
  </si>
  <si>
    <t>(NOTE: 1 mSv = 100 mR and 1 mR = 10 mSv/h)</t>
  </si>
  <si>
    <t>MEASURING SURVEY METER</t>
  </si>
  <si>
    <t>Make/Model:</t>
  </si>
  <si>
    <t>S/N:</t>
  </si>
  <si>
    <t>TRANSPORT BUCKET/DOCUMENTATION</t>
  </si>
  <si>
    <t>ACCEPTABLE?</t>
  </si>
  <si>
    <t>Tranport Bucket is NOT damaged</t>
  </si>
  <si>
    <t>Essential source RECEIPT documets present (source handling procedure, Certificate for Sealed Sources, Source Data Plate, Delivery note)</t>
  </si>
  <si>
    <t>Source RETURN Shipment documets present</t>
  </si>
  <si>
    <t>LOCATION</t>
  </si>
  <si>
    <r>
      <t>MAXIMUM EXPOSURE RATES AROUND THE TRASPORT BUCKET (</t>
    </r>
    <r>
      <rPr>
        <b/>
        <sz val="12"/>
        <color indexed="8"/>
        <rFont val="Symbol"/>
        <family val="1"/>
        <charset val="2"/>
      </rPr>
      <t>m</t>
    </r>
    <r>
      <rPr>
        <b/>
        <sz val="12"/>
        <color indexed="8"/>
        <rFont val="Arial Narrow"/>
        <family val="2"/>
      </rPr>
      <t>Sv/h):</t>
    </r>
  </si>
  <si>
    <r>
      <t>Max dose rate at surface of transport bucket (D</t>
    </r>
    <r>
      <rPr>
        <vertAlign val="subscript"/>
        <sz val="11"/>
        <color indexed="8"/>
        <rFont val="Arial Narrow"/>
        <family val="2"/>
      </rPr>
      <t>S</t>
    </r>
    <r>
      <rPr>
        <sz val="11"/>
        <color indexed="8"/>
        <rFont val="Arial Narrow"/>
        <family val="2"/>
      </rPr>
      <t>)</t>
    </r>
  </si>
  <si>
    <r>
      <t>Max dose rate at 1 meter from surface of transport bucket (D</t>
    </r>
    <r>
      <rPr>
        <vertAlign val="subscript"/>
        <sz val="11"/>
        <color indexed="8"/>
        <rFont val="Arial Narrow"/>
        <family val="2"/>
      </rPr>
      <t>1m</t>
    </r>
    <r>
      <rPr>
        <sz val="11"/>
        <color indexed="8"/>
        <rFont val="Arial Narrow"/>
        <family val="2"/>
      </rPr>
      <t>)</t>
    </r>
  </si>
  <si>
    <t>Corridor on north side of bunker</t>
  </si>
  <si>
    <r>
      <t>Contamination Measurements (on a wipe on an area of 300 cm</t>
    </r>
    <r>
      <rPr>
        <sz val="11"/>
        <color indexed="8"/>
        <rFont val="Tempus Sans ITC"/>
        <family val="5"/>
      </rPr>
      <t>²</t>
    </r>
    <r>
      <rPr>
        <sz val="11"/>
        <color indexed="8"/>
        <rFont val="Arial Narrow"/>
        <family val="2"/>
      </rPr>
      <t>)</t>
    </r>
  </si>
  <si>
    <r>
      <t>NOTE: Acceptable values - D</t>
    </r>
    <r>
      <rPr>
        <i/>
        <vertAlign val="subscript"/>
        <sz val="9"/>
        <color indexed="8"/>
        <rFont val="Arial Narrow"/>
        <family val="2"/>
      </rPr>
      <t>s</t>
    </r>
    <r>
      <rPr>
        <i/>
        <sz val="9"/>
        <color indexed="8"/>
        <rFont val="Arial Narrow"/>
        <family val="2"/>
      </rPr>
      <t xml:space="preserve"> ≤ 500 </t>
    </r>
    <r>
      <rPr>
        <sz val="9"/>
        <color indexed="8"/>
        <rFont val="Symbol"/>
        <family val="1"/>
        <charset val="2"/>
      </rPr>
      <t>m</t>
    </r>
    <r>
      <rPr>
        <i/>
        <sz val="9"/>
        <color indexed="8"/>
        <rFont val="Arial Narrow"/>
        <family val="2"/>
      </rPr>
      <t>Sv/h, D</t>
    </r>
    <r>
      <rPr>
        <i/>
        <vertAlign val="subscript"/>
        <sz val="9"/>
        <color indexed="8"/>
        <rFont val="Arial Narrow"/>
        <family val="2"/>
      </rPr>
      <t>1m</t>
    </r>
    <r>
      <rPr>
        <i/>
        <sz val="9"/>
        <color indexed="8"/>
        <rFont val="Arial Narrow"/>
        <family val="2"/>
      </rPr>
      <t xml:space="preserve"> ≤ 10 </t>
    </r>
    <r>
      <rPr>
        <sz val="9"/>
        <color indexed="8"/>
        <rFont val="Symbol"/>
        <family val="1"/>
        <charset val="2"/>
      </rPr>
      <t>m</t>
    </r>
    <r>
      <rPr>
        <i/>
        <sz val="9"/>
        <color indexed="8"/>
        <rFont val="Arial Narrow"/>
        <family val="2"/>
      </rPr>
      <t>Sv/h, Contamination ≤ 0.4 Bq/cm</t>
    </r>
    <r>
      <rPr>
        <sz val="9"/>
        <color indexed="8"/>
        <rFont val="Tempus Sans ITC"/>
        <family val="5"/>
      </rPr>
      <t>²</t>
    </r>
    <r>
      <rPr>
        <i/>
        <sz val="9"/>
        <color indexed="8"/>
        <rFont val="Arial Narrow"/>
        <family val="2"/>
      </rPr>
      <t>)</t>
    </r>
  </si>
  <si>
    <t>STORAGE AND INVENTORY</t>
  </si>
  <si>
    <t>Source bucket storage location:</t>
  </si>
  <si>
    <r>
      <t xml:space="preserve">Source information entered in the </t>
    </r>
    <r>
      <rPr>
        <vertAlign val="superscript"/>
        <sz val="11"/>
        <color indexed="8"/>
        <rFont val="Arial Narrow"/>
        <family val="2"/>
      </rPr>
      <t>192</t>
    </r>
    <r>
      <rPr>
        <sz val="11"/>
        <color indexed="8"/>
        <rFont val="Arial Narrow"/>
        <family val="2"/>
      </rPr>
      <t>Ir Source Inventroy Control Form?</t>
    </r>
  </si>
  <si>
    <t>Signature of Surveyor:</t>
  </si>
  <si>
    <t>Date of Survey:</t>
  </si>
  <si>
    <r>
      <rPr>
        <b/>
        <sz val="14"/>
        <color indexed="8"/>
        <rFont val="Arial Narrow"/>
        <family val="2"/>
      </rPr>
      <t xml:space="preserve">NEW </t>
    </r>
    <r>
      <rPr>
        <b/>
        <vertAlign val="superscript"/>
        <sz val="14"/>
        <color indexed="8"/>
        <rFont val="Arial Narrow"/>
        <family val="2"/>
      </rPr>
      <t>192</t>
    </r>
    <r>
      <rPr>
        <b/>
        <sz val="14"/>
        <color indexed="8"/>
        <rFont val="Arial Narrow"/>
        <family val="2"/>
      </rPr>
      <t xml:space="preserve">Ir SOURCE </t>
    </r>
    <r>
      <rPr>
        <b/>
        <sz val="14"/>
        <color indexed="8"/>
        <rFont val="Arial Narrow"/>
        <family val="2"/>
      </rPr>
      <t>RADIATION SURVEY FORM</t>
    </r>
  </si>
  <si>
    <t>RADIATION SURVEYS FOR THE FLEXITRON UNIT WITH THE NEW SOURCE</t>
  </si>
  <si>
    <r>
      <t>MAXIMUM EXPOSURE RATES NEAR THE FLEXITRON UNIT WITH SOURCE FULLY RETRACTED (</t>
    </r>
    <r>
      <rPr>
        <b/>
        <sz val="12"/>
        <color indexed="8"/>
        <rFont val="Symbol"/>
        <family val="1"/>
        <charset val="2"/>
      </rPr>
      <t>m</t>
    </r>
    <r>
      <rPr>
        <b/>
        <sz val="12"/>
        <color indexed="8"/>
        <rFont val="Arial Narrow"/>
        <family val="2"/>
      </rPr>
      <t>Sv/h):</t>
    </r>
  </si>
  <si>
    <r>
      <t xml:space="preserve">At the surface of the unit </t>
    </r>
    <r>
      <rPr>
        <i/>
        <sz val="11"/>
        <color indexed="8"/>
        <rFont val="Arial Narrow"/>
        <family val="2"/>
      </rPr>
      <t xml:space="preserve">(allowed max </t>
    </r>
    <r>
      <rPr>
        <i/>
        <sz val="11"/>
        <color indexed="8"/>
        <rFont val="Calibri"/>
        <family val="2"/>
      </rPr>
      <t>≤</t>
    </r>
    <r>
      <rPr>
        <i/>
        <sz val="11"/>
        <color indexed="8"/>
        <rFont val="Arial Narrow"/>
        <family val="2"/>
      </rPr>
      <t xml:space="preserve"> 500 </t>
    </r>
    <r>
      <rPr>
        <i/>
        <sz val="11"/>
        <color indexed="8"/>
        <rFont val="Symbol"/>
        <family val="1"/>
        <charset val="2"/>
      </rPr>
      <t>m</t>
    </r>
    <r>
      <rPr>
        <i/>
        <sz val="11"/>
        <color indexed="8"/>
        <rFont val="Arial Narrow"/>
        <family val="2"/>
      </rPr>
      <t>Sv/h or 50 mR/h)</t>
    </r>
  </si>
  <si>
    <r>
      <t xml:space="preserve">At 1 meter from the surface of the unit </t>
    </r>
    <r>
      <rPr>
        <i/>
        <sz val="11"/>
        <color indexed="8"/>
        <rFont val="Arial Narrow"/>
        <family val="2"/>
      </rPr>
      <t xml:space="preserve">(allowed max </t>
    </r>
    <r>
      <rPr>
        <i/>
        <sz val="11"/>
        <color indexed="8"/>
        <rFont val="Calibri"/>
        <family val="2"/>
      </rPr>
      <t>≤</t>
    </r>
    <r>
      <rPr>
        <i/>
        <sz val="11"/>
        <color indexed="8"/>
        <rFont val="Arial Narrow"/>
        <family val="2"/>
      </rPr>
      <t xml:space="preserve"> 10 </t>
    </r>
    <r>
      <rPr>
        <i/>
        <sz val="11"/>
        <color indexed="8"/>
        <rFont val="Symbol"/>
        <family val="1"/>
        <charset val="2"/>
      </rPr>
      <t>m</t>
    </r>
    <r>
      <rPr>
        <i/>
        <sz val="11"/>
        <color indexed="8"/>
        <rFont val="Arial Narrow"/>
        <family val="2"/>
      </rPr>
      <t>Sv/h or 1 mR/h)</t>
    </r>
  </si>
  <si>
    <r>
      <t>MAXIMUM EXPOSURE RATES AT ADJACENT AREAS WITH SOURCE EXTENDED (</t>
    </r>
    <r>
      <rPr>
        <b/>
        <sz val="12"/>
        <color indexed="8"/>
        <rFont val="Symbol"/>
        <family val="1"/>
        <charset val="2"/>
      </rPr>
      <t>m</t>
    </r>
    <r>
      <rPr>
        <b/>
        <sz val="12"/>
        <color indexed="8"/>
        <rFont val="Arial Narrow"/>
        <family val="2"/>
      </rPr>
      <t>Sv/h):</t>
    </r>
  </si>
  <si>
    <t>HDR Suite Entrance door (@ surface only)</t>
  </si>
  <si>
    <t>HDR Control Console</t>
  </si>
  <si>
    <t>Storage Rooms (southwest)</t>
  </si>
  <si>
    <t>Entrance Corridor (north)</t>
  </si>
  <si>
    <t>SOURCE LEAKAGE TEST RESULTS ON SOURCE CERTIFICATE CHECKED</t>
  </si>
  <si>
    <r>
      <t>192</t>
    </r>
    <r>
      <rPr>
        <b/>
        <sz val="14"/>
        <color indexed="8"/>
        <rFont val="Arial Narrow"/>
        <family val="2"/>
      </rPr>
      <t xml:space="preserve">Ir HDR SOURCE </t>
    </r>
    <r>
      <rPr>
        <b/>
        <u val="double"/>
        <sz val="14"/>
        <color indexed="8"/>
        <rFont val="Arial Narrow"/>
        <family val="2"/>
      </rPr>
      <t>RETURN</t>
    </r>
    <r>
      <rPr>
        <b/>
        <sz val="14"/>
        <color indexed="8"/>
        <rFont val="Arial Narrow"/>
        <family val="2"/>
      </rPr>
      <t xml:space="preserve"> RADIATION SURVEY FORM</t>
    </r>
  </si>
  <si>
    <t>Date of Return:</t>
  </si>
  <si>
    <t>RADIATION SURVEY UPON SOURCE RETURN</t>
  </si>
  <si>
    <t>Correct source activity in GBq is written on the two "II-Yellow" labels (that are marked "Return" and pasted on opposite sides of the transport bucket)</t>
  </si>
  <si>
    <t>Correct source activity in GBq is written on FlexiSource Return Form</t>
  </si>
  <si>
    <t>3 Copies of the Shippers Declaration Form for Dangerous Goods is attached</t>
  </si>
  <si>
    <r>
      <t>Corridor on north side of bunker</t>
    </r>
    <r>
      <rPr>
        <vertAlign val="superscript"/>
        <sz val="11"/>
        <color indexed="8"/>
        <rFont val="Arial Narrow"/>
        <family val="2"/>
      </rPr>
      <t>1</t>
    </r>
  </si>
  <si>
    <t>Other areas</t>
  </si>
  <si>
    <r>
      <t>Transport Index</t>
    </r>
    <r>
      <rPr>
        <vertAlign val="superscript"/>
        <sz val="11"/>
        <color indexed="8"/>
        <rFont val="Arial Narrow"/>
        <family val="2"/>
      </rPr>
      <t>2</t>
    </r>
    <r>
      <rPr>
        <sz val="11"/>
        <color indexed="8"/>
        <rFont val="Arial Narrow"/>
        <family val="2"/>
      </rPr>
      <t xml:space="preserve"> (TI) = [D</t>
    </r>
    <r>
      <rPr>
        <vertAlign val="subscript"/>
        <sz val="11"/>
        <color indexed="8"/>
        <rFont val="Arial Narrow"/>
        <family val="2"/>
      </rPr>
      <t>1m</t>
    </r>
    <r>
      <rPr>
        <sz val="11"/>
        <color indexed="8"/>
        <rFont val="Arial Narrow"/>
        <family val="2"/>
      </rPr>
      <t xml:space="preserve"> (in </t>
    </r>
    <r>
      <rPr>
        <sz val="11"/>
        <color indexed="8"/>
        <rFont val="Symbol"/>
        <family val="1"/>
        <charset val="2"/>
      </rPr>
      <t>m</t>
    </r>
    <r>
      <rPr>
        <sz val="11"/>
        <color indexed="8"/>
        <rFont val="Arial Narrow"/>
        <family val="2"/>
      </rPr>
      <t xml:space="preserve">Sv/h) </t>
    </r>
    <r>
      <rPr>
        <sz val="11"/>
        <color indexed="8"/>
        <rFont val="Symbol"/>
        <family val="1"/>
        <charset val="2"/>
      </rPr>
      <t>¸</t>
    </r>
    <r>
      <rPr>
        <sz val="11"/>
        <color indexed="8"/>
        <rFont val="Arial Narrow"/>
        <family val="2"/>
      </rPr>
      <t xml:space="preserve"> 10] =</t>
    </r>
  </si>
  <si>
    <t>NOTES:</t>
  </si>
  <si>
    <r>
      <rPr>
        <vertAlign val="superscript"/>
        <sz val="10"/>
        <color indexed="8"/>
        <rFont val="Arial Narrow"/>
        <family val="2"/>
      </rPr>
      <t>1</t>
    </r>
    <r>
      <rPr>
        <sz val="10"/>
        <color indexed="8"/>
        <rFont val="Arial Narrow"/>
        <family val="2"/>
      </rPr>
      <t xml:space="preserve"> Measurements outside the Transport Bucket storage area shoub be </t>
    </r>
    <r>
      <rPr>
        <sz val="10"/>
        <color indexed="8"/>
        <rFont val="Calibri"/>
        <family val="2"/>
      </rPr>
      <t>≤</t>
    </r>
    <r>
      <rPr>
        <sz val="10"/>
        <color indexed="8"/>
        <rFont val="Arial Narrow"/>
        <family val="2"/>
      </rPr>
      <t xml:space="preserve"> 2.5 </t>
    </r>
    <r>
      <rPr>
        <sz val="10"/>
        <color indexed="8"/>
        <rFont val="Symbol"/>
        <family val="1"/>
        <charset val="2"/>
      </rPr>
      <t>m</t>
    </r>
    <r>
      <rPr>
        <sz val="10"/>
        <color indexed="8"/>
        <rFont val="Arial Narrow"/>
        <family val="2"/>
      </rPr>
      <t>Sv/h</t>
    </r>
  </si>
  <si>
    <r>
      <rPr>
        <vertAlign val="superscript"/>
        <sz val="10"/>
        <color indexed="8"/>
        <rFont val="Arial Narrow"/>
        <family val="2"/>
      </rPr>
      <t>2</t>
    </r>
    <r>
      <rPr>
        <sz val="10"/>
        <color indexed="8"/>
        <rFont val="Arial Narrow"/>
        <family val="2"/>
      </rPr>
      <t xml:space="preserve"> TI must be rounded up to the 1st decimal place (e.g. 0.11 must be rounded up to 0.2).  TI should be &lt; 0.6; D</t>
    </r>
    <r>
      <rPr>
        <vertAlign val="subscript"/>
        <sz val="10"/>
        <color indexed="8"/>
        <rFont val="Arial Narrow"/>
        <family val="2"/>
      </rPr>
      <t>S</t>
    </r>
    <r>
      <rPr>
        <sz val="10"/>
        <color indexed="8"/>
        <rFont val="Arial Narrow"/>
        <family val="2"/>
      </rPr>
      <t xml:space="preserve"> should not be &gt; 200 </t>
    </r>
    <r>
      <rPr>
        <sz val="10"/>
        <color indexed="8"/>
        <rFont val="Symbol"/>
        <family val="1"/>
        <charset val="2"/>
      </rPr>
      <t>m</t>
    </r>
    <r>
      <rPr>
        <sz val="10"/>
        <color indexed="8"/>
        <rFont val="Arial Narrow"/>
        <family val="2"/>
      </rPr>
      <t xml:space="preserve">Sv/h and contamination activity should be </t>
    </r>
    <r>
      <rPr>
        <sz val="10"/>
        <color indexed="8"/>
        <rFont val="Calibri"/>
        <family val="2"/>
      </rPr>
      <t>≤</t>
    </r>
    <r>
      <rPr>
        <sz val="10"/>
        <color indexed="8"/>
        <rFont val="Arial Narrow"/>
        <family val="2"/>
      </rPr>
      <t xml:space="preserve"> 0.4 Bq/cm</t>
    </r>
    <r>
      <rPr>
        <sz val="10"/>
        <color indexed="8"/>
        <rFont val="Tempus Sans ITC"/>
        <family val="5"/>
      </rPr>
      <t>²</t>
    </r>
  </si>
  <si>
    <r>
      <t xml:space="preserve">DOSE RATE </t>
    </r>
    <r>
      <rPr>
        <sz val="11"/>
        <color indexed="8"/>
        <rFont val="Arial Narrow"/>
        <family val="2"/>
      </rPr>
      <t>(</t>
    </r>
    <r>
      <rPr>
        <sz val="11"/>
        <color indexed="8"/>
        <rFont val="Symbol"/>
        <family val="1"/>
        <charset val="2"/>
      </rPr>
      <t>m</t>
    </r>
    <r>
      <rPr>
        <sz val="11"/>
        <color indexed="8"/>
        <rFont val="Arial Narrow"/>
        <family val="2"/>
      </rPr>
      <t>Sv/h)</t>
    </r>
  </si>
  <si>
    <t>Source is leak free and the surface contamination activity is ~200 Bq (~5 nCi)</t>
  </si>
  <si>
    <t>Calibration Date:</t>
  </si>
  <si>
    <t>&amp; Time:</t>
  </si>
  <si>
    <t>Fluke 451P</t>
  </si>
  <si>
    <t>NLF 01 D85E2431</t>
  </si>
  <si>
    <t>447GBq</t>
  </si>
  <si>
    <t>20.58 CET</t>
  </si>
  <si>
    <t>Fluke 451</t>
  </si>
  <si>
    <t>Visual communication</t>
  </si>
  <si>
    <t>#40</t>
  </si>
  <si>
    <t>D85E2661</t>
  </si>
  <si>
    <t>426.3 GBq</t>
  </si>
  <si>
    <t>00:00:00 CET</t>
  </si>
  <si>
    <t>Background</t>
  </si>
  <si>
    <t>Dr. T. Olding</t>
  </si>
  <si>
    <t>T.Olding</t>
  </si>
  <si>
    <t>NLF 01 D85E2661</t>
  </si>
  <si>
    <t>TO/JDJ</t>
  </si>
  <si>
    <t>June 8 2018</t>
  </si>
  <si>
    <t>P</t>
  </si>
  <si>
    <t>JD Jutras &amp; T Olding</t>
  </si>
  <si>
    <t>Terminate_08062018</t>
  </si>
  <si>
    <t>Recovery_08062018</t>
  </si>
  <si>
    <t>entered 15.4s into recovery plan instead of 15.3s as specified</t>
  </si>
  <si>
    <t xml:space="preserve">NLF 01 D85E2431 
</t>
  </si>
  <si>
    <t>n/a</t>
  </si>
  <si>
    <t>backgnd.</t>
  </si>
  <si>
    <t>Christopher B. Peters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</si>
</sst>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4" formatCode="[$-409]d\-mmm\-yyyy;@"/>
    <numFmt numFmtId="165" formatCode="0.0"/>
    <numFmt numFmtId="166" formatCode="m/d/yy\ h:mm;@"/>
    <numFmt numFmtId="167" formatCode="h:mm;@"/>
    <numFmt numFmtId="168" formatCode="0.000E+00"/>
    <numFmt numFmtId="169" formatCode="0.0000"/>
    <numFmt numFmtId="170" formatCode="#,##0.000"/>
    <numFmt numFmtId="171" formatCode="0.000"/>
    <numFmt numFmtId="172" formatCode="[$-409]mmmm\ d\,\ yyyy;@"/>
    <numFmt numFmtId="173" formatCode="[$-409]d\-mmm\-yy;@"/>
    <numFmt numFmtId="174" formatCode="mm/dd/yy"/>
    <numFmt numFmtId="175" formatCode="0.00000"/>
    <numFmt numFmtId="176" formatCode="ddd"/>
    <numFmt numFmtId="177" formatCode="[$-F800]dddd\,\ mmmm\ dd\,\ yyyy"/>
    <numFmt numFmtId="178" formatCode="dd\-mmm\-yyyy"/>
  </numFmts>
  <fonts count="8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u/>
      <sz val="11"/>
      <name val="Times New Roman"/>
      <family val="1"/>
    </font>
    <font>
      <sz val="11"/>
      <name val="Arial"/>
      <family val="2"/>
    </font>
    <font>
      <sz val="10"/>
      <name val="Times New Roman"/>
      <family val="1"/>
    </font>
    <font>
      <b/>
      <u/>
      <vertAlign val="superscript"/>
      <sz val="1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vertAlign val="subscript"/>
      <sz val="9"/>
      <name val="Times New Roman"/>
      <family val="1"/>
    </font>
    <font>
      <b/>
      <vertAlign val="superscript"/>
      <sz val="9"/>
      <name val="Times New Roman"/>
      <family val="1"/>
    </font>
    <font>
      <b/>
      <sz val="9"/>
      <name val="Symbol"/>
      <family val="1"/>
      <charset val="2"/>
    </font>
    <font>
      <sz val="8"/>
      <name val="Times New Roman"/>
      <family val="1"/>
    </font>
    <font>
      <b/>
      <sz val="8"/>
      <name val="Times New Roman"/>
      <family val="1"/>
    </font>
    <font>
      <b/>
      <vertAlign val="subscript"/>
      <sz val="8"/>
      <name val="Times New Roman"/>
      <family val="1"/>
    </font>
    <font>
      <b/>
      <sz val="8"/>
      <name val="Arial"/>
      <family val="2"/>
    </font>
    <font>
      <b/>
      <u/>
      <sz val="9"/>
      <name val="Times New Roman"/>
      <family val="1"/>
    </font>
    <font>
      <b/>
      <u/>
      <sz val="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b/>
      <sz val="12"/>
      <name val="Times New Roman"/>
      <family val="1"/>
    </font>
    <font>
      <b/>
      <u/>
      <sz val="10"/>
      <name val="Times New Roman"/>
      <family val="1"/>
    </font>
    <font>
      <b/>
      <vertAlign val="superscript"/>
      <sz val="10"/>
      <name val="Times New Roman"/>
      <family val="1"/>
    </font>
    <font>
      <b/>
      <sz val="12"/>
      <name val="Symbol"/>
      <family val="1"/>
      <charset val="2"/>
    </font>
    <font>
      <b/>
      <vertAlign val="superscript"/>
      <sz val="12"/>
      <name val="Times New Roman"/>
      <family val="1"/>
    </font>
    <font>
      <b/>
      <vertAlign val="subscript"/>
      <sz val="12"/>
      <name val="Times New Roman"/>
      <family val="1"/>
    </font>
    <font>
      <b/>
      <vertAlign val="subscript"/>
      <sz val="10"/>
      <name val="Times New Roman"/>
      <family val="1"/>
    </font>
    <font>
      <b/>
      <sz val="10"/>
      <name val="Symbol"/>
      <family val="1"/>
      <charset val="2"/>
    </font>
    <font>
      <sz val="10"/>
      <name val="Symbol"/>
      <family val="1"/>
      <charset val="2"/>
    </font>
    <font>
      <vertAlign val="superscript"/>
      <sz val="10"/>
      <name val="Times New Roman"/>
      <family val="1"/>
    </font>
    <font>
      <sz val="11"/>
      <name val="Times New Roman"/>
      <family val="1"/>
    </font>
    <font>
      <u/>
      <sz val="8"/>
      <name val="Times New Roman"/>
      <family val="1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60"/>
      <name val="Times New Roman"/>
      <family val="1"/>
    </font>
    <font>
      <i/>
      <sz val="10"/>
      <name val="Times New Roman"/>
      <family val="1"/>
    </font>
    <font>
      <b/>
      <i/>
      <sz val="11"/>
      <name val="Times New Roman"/>
      <family val="1"/>
    </font>
    <font>
      <b/>
      <u/>
      <sz val="16"/>
      <name val="Times New Roman"/>
      <family val="1"/>
    </font>
    <font>
      <b/>
      <sz val="9"/>
      <name val="Garamond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vertAlign val="superscript"/>
      <sz val="14"/>
      <color indexed="8"/>
      <name val="Arial Narrow"/>
      <family val="2"/>
    </font>
    <font>
      <b/>
      <sz val="14"/>
      <color indexed="8"/>
      <name val="Arial Narrow"/>
      <family val="2"/>
    </font>
    <font>
      <b/>
      <u val="double"/>
      <sz val="14"/>
      <color indexed="8"/>
      <name val="Arial Narrow"/>
      <family val="2"/>
    </font>
    <font>
      <sz val="11"/>
      <color indexed="8"/>
      <name val="Arial Narrow"/>
      <family val="2"/>
    </font>
    <font>
      <b/>
      <vertAlign val="superscript"/>
      <sz val="12"/>
      <color indexed="8"/>
      <name val="Arial Narrow"/>
      <family val="2"/>
    </font>
    <font>
      <b/>
      <sz val="12"/>
      <color indexed="8"/>
      <name val="Arial Narrow"/>
      <family val="2"/>
    </font>
    <font>
      <i/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2"/>
      <color indexed="8"/>
      <name val="Symbol"/>
      <family val="1"/>
      <charset val="2"/>
    </font>
    <font>
      <vertAlign val="subscript"/>
      <sz val="11"/>
      <color indexed="8"/>
      <name val="Arial Narrow"/>
      <family val="2"/>
    </font>
    <font>
      <sz val="11"/>
      <color indexed="8"/>
      <name val="Tempus Sans ITC"/>
      <family val="5"/>
    </font>
    <font>
      <i/>
      <sz val="9"/>
      <color indexed="8"/>
      <name val="Arial Narrow"/>
      <family val="2"/>
    </font>
    <font>
      <i/>
      <vertAlign val="subscript"/>
      <sz val="9"/>
      <color indexed="8"/>
      <name val="Arial Narrow"/>
      <family val="2"/>
    </font>
    <font>
      <sz val="9"/>
      <color indexed="8"/>
      <name val="Symbol"/>
      <family val="1"/>
      <charset val="2"/>
    </font>
    <font>
      <sz val="9"/>
      <color indexed="8"/>
      <name val="Tempus Sans ITC"/>
      <family val="5"/>
    </font>
    <font>
      <vertAlign val="superscript"/>
      <sz val="11"/>
      <color indexed="8"/>
      <name val="Arial Narrow"/>
      <family val="2"/>
    </font>
    <font>
      <i/>
      <sz val="11"/>
      <color indexed="8"/>
      <name val="Arial Narrow"/>
      <family val="2"/>
    </font>
    <font>
      <i/>
      <sz val="11"/>
      <color indexed="8"/>
      <name val="Calibri"/>
      <family val="2"/>
    </font>
    <font>
      <i/>
      <sz val="11"/>
      <color indexed="8"/>
      <name val="Symbol"/>
      <family val="1"/>
      <charset val="2"/>
    </font>
    <font>
      <sz val="11"/>
      <color indexed="8"/>
      <name val="Symbol"/>
      <family val="1"/>
      <charset val="2"/>
    </font>
    <font>
      <sz val="10"/>
      <color indexed="8"/>
      <name val="Arial Narrow"/>
      <family val="2"/>
    </font>
    <font>
      <vertAlign val="superscript"/>
      <sz val="10"/>
      <color indexed="8"/>
      <name val="Arial Narrow"/>
      <family val="2"/>
    </font>
    <font>
      <sz val="10"/>
      <color indexed="8"/>
      <name val="Calibri"/>
      <family val="2"/>
    </font>
    <font>
      <sz val="10"/>
      <color indexed="8"/>
      <name val="Symbol"/>
      <family val="1"/>
      <charset val="2"/>
    </font>
    <font>
      <vertAlign val="subscript"/>
      <sz val="10"/>
      <color indexed="8"/>
      <name val="Arial Narrow"/>
      <family val="2"/>
    </font>
    <font>
      <sz val="10"/>
      <color indexed="8"/>
      <name val="Tempus Sans ITC"/>
      <family val="5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9"/>
      <name val="Wingdings 2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</fills>
  <borders count="61">
    <border>
      <left/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7">
    <xf numFmtId="0" fontId="0" fillId="0" borderId="0"/>
    <xf numFmtId="0" fontId="7" fillId="0" borderId="0"/>
    <xf numFmtId="0" fontId="80" fillId="0" borderId="0"/>
    <xf numFmtId="0" fontId="80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37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165" fontId="6" fillId="3" borderId="5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5" fontId="6" fillId="3" borderId="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10" fillId="0" borderId="0" xfId="0" applyFont="1" applyFill="1" applyBorder="1" applyProtection="1"/>
    <xf numFmtId="0" fontId="12" fillId="0" borderId="0" xfId="0" applyFont="1" applyFill="1" applyBorder="1" applyAlignment="1" applyProtection="1">
      <alignment horizontal="left"/>
    </xf>
    <xf numFmtId="0" fontId="12" fillId="0" borderId="8" xfId="0" applyFont="1" applyFill="1" applyBorder="1" applyProtection="1"/>
    <xf numFmtId="0" fontId="13" fillId="0" borderId="9" xfId="0" applyFont="1" applyFill="1" applyBorder="1" applyAlignment="1" applyProtection="1">
      <alignment horizontal="left"/>
    </xf>
    <xf numFmtId="0" fontId="13" fillId="0" borderId="10" xfId="0" applyFont="1" applyFill="1" applyBorder="1" applyAlignment="1" applyProtection="1">
      <alignment horizontal="left"/>
    </xf>
    <xf numFmtId="0" fontId="14" fillId="0" borderId="10" xfId="0" applyFont="1" applyFill="1" applyBorder="1" applyAlignment="1" applyProtection="1">
      <alignment horizontal="left"/>
    </xf>
    <xf numFmtId="0" fontId="10" fillId="0" borderId="10" xfId="0" applyFont="1" applyFill="1" applyBorder="1" applyAlignment="1" applyProtection="1">
      <alignment horizontal="left"/>
    </xf>
    <xf numFmtId="0" fontId="10" fillId="0" borderId="0" xfId="0" applyFont="1" applyFill="1" applyBorder="1" applyAlignment="1" applyProtection="1">
      <alignment horizontal="left"/>
    </xf>
    <xf numFmtId="0" fontId="13" fillId="0" borderId="11" xfId="0" applyFont="1" applyFill="1" applyBorder="1" applyAlignment="1" applyProtection="1">
      <alignment horizontal="left" vertical="top"/>
    </xf>
    <xf numFmtId="0" fontId="13" fillId="0" borderId="8" xfId="0" applyFont="1" applyFill="1" applyBorder="1" applyAlignment="1" applyProtection="1">
      <alignment horizontal="left"/>
    </xf>
    <xf numFmtId="0" fontId="14" fillId="0" borderId="8" xfId="0" applyFont="1" applyFill="1" applyBorder="1" applyAlignment="1" applyProtection="1">
      <alignment horizontal="left"/>
    </xf>
    <xf numFmtId="0" fontId="13" fillId="0" borderId="12" xfId="0" applyFont="1" applyFill="1" applyBorder="1" applyAlignment="1" applyProtection="1">
      <alignment horizontal="left"/>
    </xf>
    <xf numFmtId="0" fontId="13" fillId="0" borderId="13" xfId="0" applyFont="1" applyFill="1" applyBorder="1" applyAlignment="1" applyProtection="1">
      <alignment horizontal="left"/>
    </xf>
    <xf numFmtId="0" fontId="14" fillId="0" borderId="0" xfId="0" applyFont="1" applyFill="1" applyBorder="1" applyAlignment="1" applyProtection="1">
      <alignment horizontal="left"/>
    </xf>
    <xf numFmtId="0" fontId="14" fillId="0" borderId="0" xfId="0" applyFont="1" applyFill="1" applyBorder="1" applyProtection="1"/>
    <xf numFmtId="0" fontId="10" fillId="0" borderId="14" xfId="0" applyFont="1" applyFill="1" applyBorder="1" applyProtection="1"/>
    <xf numFmtId="0" fontId="12" fillId="0" borderId="0" xfId="0" applyFont="1" applyFill="1" applyBorder="1" applyProtection="1"/>
    <xf numFmtId="0" fontId="13" fillId="0" borderId="11" xfId="0" applyFont="1" applyFill="1" applyBorder="1" applyAlignment="1" applyProtection="1">
      <alignment horizontal="left"/>
    </xf>
    <xf numFmtId="0" fontId="14" fillId="0" borderId="8" xfId="0" applyFont="1" applyFill="1" applyBorder="1" applyProtection="1"/>
    <xf numFmtId="0" fontId="10" fillId="0" borderId="8" xfId="0" applyFont="1" applyFill="1" applyBorder="1" applyProtection="1"/>
    <xf numFmtId="0" fontId="10" fillId="0" borderId="12" xfId="0" applyFont="1" applyFill="1" applyBorder="1" applyProtection="1"/>
    <xf numFmtId="0" fontId="13" fillId="0" borderId="13" xfId="0" applyFont="1" applyFill="1" applyBorder="1" applyProtection="1"/>
    <xf numFmtId="0" fontId="18" fillId="0" borderId="0" xfId="0" applyFont="1" applyFill="1" applyBorder="1" applyProtection="1"/>
    <xf numFmtId="0" fontId="19" fillId="0" borderId="11" xfId="0" applyFont="1" applyFill="1" applyBorder="1" applyProtection="1"/>
    <xf numFmtId="0" fontId="19" fillId="0" borderId="8" xfId="0" applyFont="1" applyFill="1" applyBorder="1" applyAlignment="1" applyProtection="1">
      <alignment horizontal="left"/>
    </xf>
    <xf numFmtId="0" fontId="19" fillId="0" borderId="8" xfId="0" applyFont="1" applyFill="1" applyBorder="1" applyAlignment="1" applyProtection="1">
      <alignment horizontal="center"/>
    </xf>
    <xf numFmtId="0" fontId="13" fillId="0" borderId="15" xfId="0" applyFont="1" applyFill="1" applyBorder="1" applyProtection="1"/>
    <xf numFmtId="0" fontId="10" fillId="0" borderId="16" xfId="0" applyFont="1" applyFill="1" applyBorder="1" applyProtection="1"/>
    <xf numFmtId="0" fontId="22" fillId="0" borderId="7" xfId="0" applyFont="1" applyFill="1" applyBorder="1" applyAlignment="1" applyProtection="1">
      <alignment horizontal="justify" vertical="center" wrapText="1"/>
    </xf>
    <xf numFmtId="0" fontId="23" fillId="0" borderId="4" xfId="0" applyFont="1" applyFill="1" applyBorder="1" applyAlignment="1" applyProtection="1">
      <alignment horizontal="center" vertical="center" wrapText="1"/>
    </xf>
    <xf numFmtId="0" fontId="23" fillId="0" borderId="7" xfId="0" applyFont="1" applyFill="1" applyBorder="1" applyAlignment="1" applyProtection="1">
      <alignment horizontal="justify" vertical="center" wrapText="1"/>
    </xf>
    <xf numFmtId="0" fontId="23" fillId="0" borderId="5" xfId="0" applyFont="1" applyFill="1" applyBorder="1" applyAlignment="1" applyProtection="1">
      <alignment horizontal="justify" vertical="center" wrapText="1"/>
    </xf>
    <xf numFmtId="0" fontId="12" fillId="0" borderId="14" xfId="0" applyFont="1" applyFill="1" applyBorder="1" applyAlignment="1" applyProtection="1">
      <alignment horizontal="justify" vertical="center" wrapText="1"/>
    </xf>
    <xf numFmtId="0" fontId="12" fillId="0" borderId="0" xfId="0" applyFont="1" applyFill="1" applyBorder="1" applyAlignment="1" applyProtection="1">
      <alignment horizontal="justify" vertical="center" wrapText="1"/>
    </xf>
    <xf numFmtId="0" fontId="22" fillId="0" borderId="7" xfId="0" applyFont="1" applyFill="1" applyBorder="1" applyProtection="1"/>
    <xf numFmtId="2" fontId="10" fillId="0" borderId="0" xfId="0" applyNumberFormat="1" applyFont="1" applyFill="1" applyBorder="1" applyProtection="1"/>
    <xf numFmtId="0" fontId="19" fillId="0" borderId="7" xfId="0" applyFont="1" applyFill="1" applyBorder="1" applyProtection="1"/>
    <xf numFmtId="0" fontId="18" fillId="0" borderId="17" xfId="0" applyFont="1" applyFill="1" applyBorder="1" applyProtection="1"/>
    <xf numFmtId="0" fontId="10" fillId="0" borderId="18" xfId="0" applyFont="1" applyFill="1" applyBorder="1" applyProtection="1"/>
    <xf numFmtId="0" fontId="10" fillId="0" borderId="17" xfId="0" applyFont="1" applyFill="1" applyBorder="1" applyProtection="1"/>
    <xf numFmtId="0" fontId="27" fillId="0" borderId="13" xfId="0" applyFont="1" applyFill="1" applyBorder="1" applyProtection="1"/>
    <xf numFmtId="0" fontId="10" fillId="0" borderId="14" xfId="0" applyFont="1" applyFill="1" applyBorder="1" applyAlignment="1" applyProtection="1">
      <alignment horizontal="center"/>
    </xf>
    <xf numFmtId="0" fontId="10" fillId="0" borderId="5" xfId="0" applyFont="1" applyFill="1" applyBorder="1" applyProtection="1"/>
    <xf numFmtId="0" fontId="10" fillId="0" borderId="5" xfId="0" applyFont="1" applyFill="1" applyBorder="1" applyAlignment="1" applyProtection="1">
      <alignment horizontal="center"/>
    </xf>
    <xf numFmtId="2" fontId="26" fillId="0" borderId="14" xfId="0" applyNumberFormat="1" applyFont="1" applyFill="1" applyBorder="1" applyAlignment="1" applyProtection="1">
      <alignment horizontal="center"/>
    </xf>
    <xf numFmtId="0" fontId="12" fillId="0" borderId="11" xfId="0" applyFont="1" applyFill="1" applyBorder="1" applyProtection="1"/>
    <xf numFmtId="0" fontId="26" fillId="0" borderId="13" xfId="0" applyFont="1" applyFill="1" applyBorder="1" applyProtection="1"/>
    <xf numFmtId="0" fontId="13" fillId="0" borderId="5" xfId="0" applyFont="1" applyFill="1" applyBorder="1" applyAlignment="1" applyProtection="1">
      <alignment horizontal="right"/>
    </xf>
    <xf numFmtId="0" fontId="14" fillId="0" borderId="5" xfId="0" applyFont="1" applyFill="1" applyBorder="1" applyProtection="1"/>
    <xf numFmtId="171" fontId="10" fillId="0" borderId="5" xfId="0" applyNumberFormat="1" applyFont="1" applyFill="1" applyBorder="1" applyProtection="1"/>
    <xf numFmtId="169" fontId="10" fillId="0" borderId="5" xfId="0" applyNumberFormat="1" applyFont="1" applyFill="1" applyBorder="1" applyProtection="1"/>
    <xf numFmtId="0" fontId="10" fillId="0" borderId="19" xfId="0" applyFont="1" applyFill="1" applyBorder="1" applyProtection="1"/>
    <xf numFmtId="169" fontId="10" fillId="0" borderId="19" xfId="0" applyNumberFormat="1" applyFont="1" applyFill="1" applyBorder="1" applyProtection="1"/>
    <xf numFmtId="0" fontId="12" fillId="0" borderId="20" xfId="0" applyFont="1" applyFill="1" applyBorder="1" applyAlignment="1" applyProtection="1">
      <alignment horizontal="right"/>
    </xf>
    <xf numFmtId="0" fontId="12" fillId="0" borderId="21" xfId="0" applyFont="1" applyFill="1" applyBorder="1" applyAlignment="1" applyProtection="1">
      <alignment horizontal="right"/>
    </xf>
    <xf numFmtId="0" fontId="12" fillId="0" borderId="2" xfId="0" applyFont="1" applyFill="1" applyBorder="1" applyAlignment="1" applyProtection="1">
      <alignment horizontal="right"/>
    </xf>
    <xf numFmtId="173" fontId="10" fillId="0" borderId="0" xfId="0" applyNumberFormat="1" applyFont="1" applyFill="1" applyBorder="1" applyProtection="1"/>
    <xf numFmtId="0" fontId="12" fillId="0" borderId="22" xfId="0" applyFont="1" applyFill="1" applyBorder="1" applyAlignment="1" applyProtection="1">
      <alignment horizontal="right"/>
    </xf>
    <xf numFmtId="171" fontId="5" fillId="0" borderId="23" xfId="0" applyNumberFormat="1" applyFont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174" fontId="12" fillId="0" borderId="23" xfId="0" applyNumberFormat="1" applyFont="1" applyFill="1" applyBorder="1" applyAlignment="1" applyProtection="1">
      <alignment horizontal="right"/>
      <protection locked="0"/>
    </xf>
    <xf numFmtId="20" fontId="12" fillId="0" borderId="18" xfId="0" applyNumberFormat="1" applyFont="1" applyFill="1" applyBorder="1" applyAlignment="1" applyProtection="1">
      <alignment horizontal="center"/>
      <protection locked="0"/>
    </xf>
    <xf numFmtId="0" fontId="12" fillId="0" borderId="13" xfId="0" applyFont="1" applyFill="1" applyBorder="1" applyProtection="1"/>
    <xf numFmtId="169" fontId="12" fillId="0" borderId="0" xfId="0" applyNumberFormat="1" applyFont="1" applyFill="1" applyBorder="1" applyAlignment="1" applyProtection="1">
      <alignment horizontal="center"/>
    </xf>
    <xf numFmtId="0" fontId="12" fillId="0" borderId="0" xfId="0" applyFont="1" applyFill="1" applyBorder="1" applyAlignment="1" applyProtection="1">
      <alignment horizontal="center"/>
    </xf>
    <xf numFmtId="0" fontId="10" fillId="0" borderId="24" xfId="0" applyFont="1" applyFill="1" applyBorder="1" applyProtection="1"/>
    <xf numFmtId="0" fontId="12" fillId="0" borderId="7" xfId="0" applyFont="1" applyFill="1" applyBorder="1" applyAlignment="1" applyProtection="1">
      <alignment horizontal="left"/>
    </xf>
    <xf numFmtId="0" fontId="10" fillId="0" borderId="25" xfId="0" applyFont="1" applyFill="1" applyBorder="1" applyProtection="1"/>
    <xf numFmtId="0" fontId="12" fillId="0" borderId="26" xfId="0" applyFont="1" applyFill="1" applyBorder="1" applyAlignment="1" applyProtection="1">
      <alignment horizontal="left"/>
    </xf>
    <xf numFmtId="0" fontId="10" fillId="0" borderId="26" xfId="0" applyFont="1" applyFill="1" applyBorder="1" applyProtection="1"/>
    <xf numFmtId="0" fontId="10" fillId="0" borderId="27" xfId="0" applyFont="1" applyFill="1" applyBorder="1" applyProtection="1"/>
    <xf numFmtId="0" fontId="12" fillId="0" borderId="17" xfId="0" applyFont="1" applyFill="1" applyBorder="1" applyAlignment="1" applyProtection="1">
      <alignment horizontal="left"/>
    </xf>
    <xf numFmtId="171" fontId="12" fillId="0" borderId="4" xfId="0" applyNumberFormat="1" applyFont="1" applyFill="1" applyBorder="1" applyProtection="1"/>
    <xf numFmtId="10" fontId="12" fillId="0" borderId="0" xfId="4" applyNumberFormat="1" applyFont="1" applyFill="1" applyBorder="1" applyProtection="1"/>
    <xf numFmtId="0" fontId="10" fillId="0" borderId="0" xfId="0" applyFont="1" applyFill="1" applyBorder="1" applyProtection="1">
      <protection locked="0"/>
    </xf>
    <xf numFmtId="0" fontId="10" fillId="0" borderId="13" xfId="0" applyFont="1" applyFill="1" applyBorder="1" applyProtection="1">
      <protection locked="0"/>
    </xf>
    <xf numFmtId="0" fontId="12" fillId="0" borderId="11" xfId="0" applyFont="1" applyFill="1" applyBorder="1" applyAlignment="1" applyProtection="1">
      <alignment horizontal="left"/>
      <protection locked="0"/>
    </xf>
    <xf numFmtId="0" fontId="10" fillId="0" borderId="8" xfId="0" applyFont="1" applyFill="1" applyBorder="1" applyProtection="1">
      <protection locked="0"/>
    </xf>
    <xf numFmtId="0" fontId="8" fillId="0" borderId="0" xfId="0" applyFont="1" applyFill="1" applyBorder="1" applyProtection="1"/>
    <xf numFmtId="0" fontId="36" fillId="0" borderId="0" xfId="0" applyFont="1" applyFill="1" applyBorder="1" applyProtection="1"/>
    <xf numFmtId="0" fontId="37" fillId="0" borderId="0" xfId="0" applyFont="1" applyFill="1" applyBorder="1" applyProtection="1"/>
    <xf numFmtId="14" fontId="10" fillId="0" borderId="0" xfId="0" applyNumberFormat="1" applyFont="1" applyFill="1" applyBorder="1" applyProtection="1">
      <protection locked="0"/>
    </xf>
    <xf numFmtId="0" fontId="10" fillId="0" borderId="4" xfId="0" applyFont="1" applyFill="1" applyBorder="1" applyAlignment="1" applyProtection="1">
      <alignment horizontal="center"/>
    </xf>
    <xf numFmtId="169" fontId="10" fillId="3" borderId="12" xfId="0" applyNumberFormat="1" applyFont="1" applyFill="1" applyBorder="1" applyAlignment="1" applyProtection="1">
      <alignment horizontal="center"/>
    </xf>
    <xf numFmtId="0" fontId="19" fillId="0" borderId="28" xfId="0" applyFont="1" applyFill="1" applyBorder="1" applyProtection="1"/>
    <xf numFmtId="168" fontId="10" fillId="4" borderId="8" xfId="0" applyNumberFormat="1" applyFont="1" applyFill="1" applyBorder="1" applyAlignment="1" applyProtection="1">
      <alignment horizontal="center"/>
    </xf>
    <xf numFmtId="0" fontId="14" fillId="3" borderId="8" xfId="0" applyFont="1" applyFill="1" applyBorder="1" applyAlignment="1" applyProtection="1">
      <alignment horizontal="left"/>
    </xf>
    <xf numFmtId="175" fontId="26" fillId="3" borderId="0" xfId="0" applyNumberFormat="1" applyFont="1" applyFill="1" applyBorder="1" applyProtection="1"/>
    <xf numFmtId="0" fontId="26" fillId="3" borderId="0" xfId="0" applyFont="1" applyFill="1" applyBorder="1" applyProtection="1"/>
    <xf numFmtId="175" fontId="26" fillId="3" borderId="0" xfId="0" applyNumberFormat="1" applyFont="1" applyFill="1" applyBorder="1" applyProtection="1">
      <protection locked="0"/>
    </xf>
    <xf numFmtId="169" fontId="10" fillId="4" borderId="0" xfId="0" applyNumberFormat="1" applyFont="1" applyFill="1" applyBorder="1" applyAlignment="1" applyProtection="1">
      <alignment horizontal="center"/>
    </xf>
    <xf numFmtId="169" fontId="12" fillId="3" borderId="8" xfId="0" applyNumberFormat="1" applyFont="1" applyFill="1" applyBorder="1" applyAlignment="1" applyProtection="1">
      <alignment horizontal="center"/>
    </xf>
    <xf numFmtId="171" fontId="26" fillId="3" borderId="27" xfId="0" applyNumberFormat="1" applyFont="1" applyFill="1" applyBorder="1" applyProtection="1"/>
    <xf numFmtId="0" fontId="18" fillId="3" borderId="7" xfId="0" applyFont="1" applyFill="1" applyBorder="1" applyAlignment="1" applyProtection="1">
      <alignment horizontal="center"/>
    </xf>
    <xf numFmtId="2" fontId="12" fillId="3" borderId="21" xfId="0" applyNumberFormat="1" applyFont="1" applyFill="1" applyBorder="1" applyAlignment="1" applyProtection="1">
      <alignment horizontal="center"/>
    </xf>
    <xf numFmtId="171" fontId="12" fillId="3" borderId="23" xfId="0" applyNumberFormat="1" applyFont="1" applyFill="1" applyBorder="1" applyAlignment="1" applyProtection="1">
      <alignment horizontal="center"/>
      <protection locked="0"/>
    </xf>
    <xf numFmtId="166" fontId="12" fillId="3" borderId="25" xfId="0" applyNumberFormat="1" applyFont="1" applyFill="1" applyBorder="1" applyAlignment="1" applyProtection="1">
      <alignment horizontal="center"/>
      <protection locked="0"/>
    </xf>
    <xf numFmtId="171" fontId="12" fillId="3" borderId="27" xfId="0" applyNumberFormat="1" applyFont="1" applyFill="1" applyBorder="1" applyAlignment="1" applyProtection="1">
      <alignment horizontal="center"/>
    </xf>
    <xf numFmtId="0" fontId="10" fillId="5" borderId="8" xfId="0" applyFont="1" applyFill="1" applyBorder="1" applyAlignment="1" applyProtection="1">
      <alignment horizontal="center"/>
      <protection locked="0"/>
    </xf>
    <xf numFmtId="0" fontId="18" fillId="5" borderId="7" xfId="0" applyFont="1" applyFill="1" applyBorder="1" applyAlignment="1" applyProtection="1">
      <alignment horizontal="center"/>
      <protection locked="0"/>
    </xf>
    <xf numFmtId="0" fontId="26" fillId="5" borderId="5" xfId="0" applyFont="1" applyFill="1" applyBorder="1" applyAlignment="1" applyProtection="1">
      <alignment horizontal="center"/>
      <protection locked="0"/>
    </xf>
    <xf numFmtId="0" fontId="12" fillId="5" borderId="5" xfId="0" applyFont="1" applyFill="1" applyBorder="1" applyAlignment="1" applyProtection="1">
      <alignment horizontal="center"/>
    </xf>
    <xf numFmtId="166" fontId="12" fillId="5" borderId="25" xfId="0" applyNumberFormat="1" applyFont="1" applyFill="1" applyBorder="1" applyAlignment="1" applyProtection="1">
      <alignment horizontal="center"/>
      <protection locked="0"/>
    </xf>
    <xf numFmtId="2" fontId="10" fillId="5" borderId="0" xfId="0" applyNumberFormat="1" applyFont="1" applyFill="1" applyBorder="1" applyProtection="1">
      <protection locked="0"/>
    </xf>
    <xf numFmtId="15" fontId="10" fillId="5" borderId="0" xfId="0" applyNumberFormat="1" applyFont="1" applyFill="1" applyBorder="1" applyProtection="1"/>
    <xf numFmtId="0" fontId="42" fillId="0" borderId="8" xfId="0" applyFont="1" applyFill="1" applyBorder="1" applyAlignment="1" applyProtection="1">
      <alignment horizontal="left"/>
      <protection locked="0"/>
    </xf>
    <xf numFmtId="0" fontId="12" fillId="0" borderId="5" xfId="0" applyFont="1" applyFill="1" applyBorder="1" applyAlignment="1" applyProtection="1">
      <alignment horizontal="center" vertical="center" wrapText="1"/>
    </xf>
    <xf numFmtId="171" fontId="10" fillId="3" borderId="5" xfId="0" applyNumberFormat="1" applyFont="1" applyFill="1" applyBorder="1" applyAlignment="1" applyProtection="1">
      <alignment horizontal="center"/>
    </xf>
    <xf numFmtId="0" fontId="10" fillId="5" borderId="5" xfId="0" applyFont="1" applyFill="1" applyBorder="1" applyAlignment="1" applyProtection="1">
      <alignment horizontal="center"/>
    </xf>
    <xf numFmtId="170" fontId="10" fillId="5" borderId="5" xfId="0" applyNumberFormat="1" applyFont="1" applyFill="1" applyBorder="1" applyAlignment="1" applyProtection="1">
      <alignment horizontal="center"/>
    </xf>
    <xf numFmtId="0" fontId="43" fillId="0" borderId="0" xfId="0" applyFont="1" applyFill="1" applyBorder="1" applyProtection="1"/>
    <xf numFmtId="0" fontId="44" fillId="0" borderId="14" xfId="0" applyFont="1" applyFill="1" applyBorder="1" applyAlignment="1" applyProtection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164" fontId="4" fillId="5" borderId="30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2" fontId="3" fillId="5" borderId="31" xfId="0" applyNumberFormat="1" applyFont="1" applyFill="1" applyBorder="1" applyAlignment="1">
      <alignment horizontal="center" vertical="center"/>
    </xf>
    <xf numFmtId="0" fontId="45" fillId="0" borderId="0" xfId="0" applyFont="1"/>
    <xf numFmtId="0" fontId="26" fillId="0" borderId="0" xfId="0" applyFont="1"/>
    <xf numFmtId="0" fontId="26" fillId="0" borderId="0" xfId="0" applyFont="1" applyAlignment="1">
      <alignment horizontal="left"/>
    </xf>
    <xf numFmtId="0" fontId="46" fillId="0" borderId="0" xfId="0" applyFont="1"/>
    <xf numFmtId="0" fontId="26" fillId="4" borderId="32" xfId="0" applyFont="1" applyFill="1" applyBorder="1" applyAlignment="1">
      <alignment horizontal="center"/>
    </xf>
    <xf numFmtId="0" fontId="26" fillId="4" borderId="33" xfId="0" applyFont="1" applyFill="1" applyBorder="1" applyAlignment="1">
      <alignment horizontal="center"/>
    </xf>
    <xf numFmtId="0" fontId="26" fillId="4" borderId="34" xfId="0" applyFont="1" applyFill="1" applyBorder="1" applyAlignment="1">
      <alignment horizontal="center"/>
    </xf>
    <xf numFmtId="0" fontId="26" fillId="4" borderId="35" xfId="0" applyFont="1" applyFill="1" applyBorder="1" applyAlignment="1">
      <alignment horizontal="center"/>
    </xf>
    <xf numFmtId="0" fontId="26" fillId="4" borderId="10" xfId="0" applyFont="1" applyFill="1" applyBorder="1" applyAlignment="1">
      <alignment horizontal="center"/>
    </xf>
    <xf numFmtId="0" fontId="0" fillId="0" borderId="36" xfId="0" applyBorder="1"/>
    <xf numFmtId="0" fontId="26" fillId="4" borderId="37" xfId="0" applyFont="1" applyFill="1" applyBorder="1" applyAlignment="1">
      <alignment horizontal="center"/>
    </xf>
    <xf numFmtId="0" fontId="47" fillId="4" borderId="12" xfId="0" applyFont="1" applyFill="1" applyBorder="1" applyAlignment="1">
      <alignment horizontal="center"/>
    </xf>
    <xf numFmtId="0" fontId="26" fillId="4" borderId="38" xfId="0" applyFont="1" applyFill="1" applyBorder="1" applyAlignment="1">
      <alignment horizontal="center"/>
    </xf>
    <xf numFmtId="0" fontId="26" fillId="4" borderId="39" xfId="0" applyFont="1" applyFill="1" applyBorder="1" applyAlignment="1">
      <alignment horizontal="center"/>
    </xf>
    <xf numFmtId="0" fontId="26" fillId="4" borderId="40" xfId="0" applyFont="1" applyFill="1" applyBorder="1" applyAlignment="1">
      <alignment horizontal="center"/>
    </xf>
    <xf numFmtId="173" fontId="26" fillId="6" borderId="25" xfId="0" applyNumberFormat="1" applyFont="1" applyFill="1" applyBorder="1" applyAlignment="1">
      <alignment horizontal="center"/>
    </xf>
    <xf numFmtId="176" fontId="26" fillId="6" borderId="41" xfId="0" applyNumberFormat="1" applyFont="1" applyFill="1" applyBorder="1" applyAlignment="1">
      <alignment horizontal="center"/>
    </xf>
    <xf numFmtId="1" fontId="26" fillId="6" borderId="26" xfId="0" applyNumberFormat="1" applyFont="1" applyFill="1" applyBorder="1" applyAlignment="1">
      <alignment horizontal="center"/>
    </xf>
    <xf numFmtId="173" fontId="26" fillId="7" borderId="25" xfId="0" applyNumberFormat="1" applyFont="1" applyFill="1" applyBorder="1" applyAlignment="1">
      <alignment horizontal="center"/>
    </xf>
    <xf numFmtId="176" fontId="26" fillId="7" borderId="41" xfId="0" applyNumberFormat="1" applyFont="1" applyFill="1" applyBorder="1" applyAlignment="1">
      <alignment horizontal="center"/>
    </xf>
    <xf numFmtId="1" fontId="26" fillId="7" borderId="26" xfId="0" applyNumberFormat="1" applyFont="1" applyFill="1" applyBorder="1" applyAlignment="1">
      <alignment horizontal="center"/>
    </xf>
    <xf numFmtId="1" fontId="26" fillId="7" borderId="30" xfId="0" applyNumberFormat="1" applyFont="1" applyFill="1" applyBorder="1" applyAlignment="1">
      <alignment horizontal="center"/>
    </xf>
    <xf numFmtId="0" fontId="47" fillId="4" borderId="42" xfId="0" applyFont="1" applyFill="1" applyBorder="1" applyAlignment="1">
      <alignment horizontal="center"/>
    </xf>
    <xf numFmtId="173" fontId="47" fillId="6" borderId="5" xfId="0" applyNumberFormat="1" applyFont="1" applyFill="1" applyBorder="1" applyAlignment="1">
      <alignment horizontal="center"/>
    </xf>
    <xf numFmtId="1" fontId="47" fillId="6" borderId="7" xfId="0" applyNumberFormat="1" applyFont="1" applyFill="1" applyBorder="1" applyAlignment="1">
      <alignment horizontal="center"/>
    </xf>
    <xf numFmtId="173" fontId="47" fillId="7" borderId="5" xfId="0" applyNumberFormat="1" applyFont="1" applyFill="1" applyBorder="1" applyAlignment="1">
      <alignment horizontal="center"/>
    </xf>
    <xf numFmtId="0" fontId="0" fillId="0" borderId="0" xfId="0" applyFill="1"/>
    <xf numFmtId="0" fontId="26" fillId="4" borderId="42" xfId="0" applyFont="1" applyFill="1" applyBorder="1" applyAlignment="1">
      <alignment horizontal="center"/>
    </xf>
    <xf numFmtId="173" fontId="26" fillId="6" borderId="5" xfId="0" applyNumberFormat="1" applyFont="1" applyFill="1" applyBorder="1" applyAlignment="1">
      <alignment horizontal="center"/>
    </xf>
    <xf numFmtId="1" fontId="26" fillId="6" borderId="7" xfId="0" applyNumberFormat="1" applyFont="1" applyFill="1" applyBorder="1" applyAlignment="1">
      <alignment horizontal="center"/>
    </xf>
    <xf numFmtId="173" fontId="26" fillId="7" borderId="5" xfId="0" applyNumberFormat="1" applyFont="1" applyFill="1" applyBorder="1" applyAlignment="1">
      <alignment horizontal="center"/>
    </xf>
    <xf numFmtId="1" fontId="26" fillId="7" borderId="7" xfId="0" applyNumberFormat="1" applyFont="1" applyFill="1" applyBorder="1" applyAlignment="1">
      <alignment horizontal="center"/>
    </xf>
    <xf numFmtId="0" fontId="0" fillId="0" borderId="0" xfId="0" applyFill="1" applyBorder="1"/>
    <xf numFmtId="0" fontId="47" fillId="4" borderId="43" xfId="0" applyFont="1" applyFill="1" applyBorder="1" applyAlignment="1">
      <alignment horizontal="center"/>
    </xf>
    <xf numFmtId="173" fontId="47" fillId="6" borderId="44" xfId="0" applyNumberFormat="1" applyFont="1" applyFill="1" applyBorder="1" applyAlignment="1">
      <alignment horizontal="center"/>
    </xf>
    <xf numFmtId="176" fontId="26" fillId="6" borderId="45" xfId="0" applyNumberFormat="1" applyFont="1" applyFill="1" applyBorder="1" applyAlignment="1">
      <alignment horizontal="center"/>
    </xf>
    <xf numFmtId="1" fontId="47" fillId="6" borderId="31" xfId="0" applyNumberFormat="1" applyFont="1" applyFill="1" applyBorder="1" applyAlignment="1">
      <alignment horizontal="center"/>
    </xf>
    <xf numFmtId="173" fontId="47" fillId="7" borderId="44" xfId="0" applyNumberFormat="1" applyFont="1" applyFill="1" applyBorder="1" applyAlignment="1">
      <alignment horizontal="center"/>
    </xf>
    <xf numFmtId="176" fontId="26" fillId="7" borderId="45" xfId="0" applyNumberFormat="1" applyFont="1" applyFill="1" applyBorder="1" applyAlignment="1">
      <alignment horizontal="center"/>
    </xf>
    <xf numFmtId="0" fontId="47" fillId="4" borderId="28" xfId="0" applyFont="1" applyFill="1" applyBorder="1" applyAlignment="1">
      <alignment horizontal="center"/>
    </xf>
    <xf numFmtId="173" fontId="47" fillId="6" borderId="27" xfId="0" applyNumberFormat="1" applyFont="1" applyFill="1" applyBorder="1" applyAlignment="1">
      <alignment horizontal="center"/>
    </xf>
    <xf numFmtId="176" fontId="26" fillId="6" borderId="27" xfId="0" applyNumberFormat="1" applyFont="1" applyFill="1" applyBorder="1" applyAlignment="1">
      <alignment horizontal="center"/>
    </xf>
    <xf numFmtId="1" fontId="47" fillId="6" borderId="17" xfId="0" applyNumberFormat="1" applyFont="1" applyFill="1" applyBorder="1" applyAlignment="1">
      <alignment horizontal="center"/>
    </xf>
    <xf numFmtId="173" fontId="47" fillId="7" borderId="27" xfId="0" applyNumberFormat="1" applyFont="1" applyFill="1" applyBorder="1" applyAlignment="1">
      <alignment horizontal="center"/>
    </xf>
    <xf numFmtId="176" fontId="26" fillId="7" borderId="27" xfId="0" applyNumberFormat="1" applyFont="1" applyFill="1" applyBorder="1" applyAlignment="1">
      <alignment horizontal="center"/>
    </xf>
    <xf numFmtId="177" fontId="0" fillId="0" borderId="0" xfId="0" applyNumberFormat="1"/>
    <xf numFmtId="0" fontId="48" fillId="0" borderId="0" xfId="0" applyFont="1"/>
    <xf numFmtId="0" fontId="19" fillId="0" borderId="18" xfId="0" applyFont="1" applyFill="1" applyBorder="1" applyProtection="1"/>
    <xf numFmtId="0" fontId="23" fillId="0" borderId="42" xfId="0" applyFont="1" applyFill="1" applyBorder="1" applyAlignment="1" applyProtection="1">
      <alignment horizontal="center" vertical="center" wrapText="1"/>
    </xf>
    <xf numFmtId="0" fontId="10" fillId="0" borderId="42" xfId="0" applyFont="1" applyFill="1" applyBorder="1" applyAlignment="1" applyProtection="1">
      <alignment horizontal="center"/>
    </xf>
    <xf numFmtId="0" fontId="10" fillId="0" borderId="36" xfId="0" applyFont="1" applyFill="1" applyBorder="1" applyProtection="1"/>
    <xf numFmtId="2" fontId="10" fillId="0" borderId="36" xfId="0" applyNumberFormat="1" applyFont="1" applyFill="1" applyBorder="1" applyProtection="1"/>
    <xf numFmtId="0" fontId="10" fillId="0" borderId="28" xfId="0" applyFont="1" applyFill="1" applyBorder="1" applyProtection="1"/>
    <xf numFmtId="1" fontId="26" fillId="7" borderId="31" xfId="0" applyNumberFormat="1" applyFont="1" applyFill="1" applyBorder="1" applyAlignment="1">
      <alignment horizontal="center"/>
    </xf>
    <xf numFmtId="1" fontId="26" fillId="7" borderId="17" xfId="0" applyNumberFormat="1" applyFont="1" applyFill="1" applyBorder="1" applyAlignment="1">
      <alignment horizontal="center"/>
    </xf>
    <xf numFmtId="1" fontId="26" fillId="6" borderId="31" xfId="0" applyNumberFormat="1" applyFont="1" applyFill="1" applyBorder="1" applyAlignment="1">
      <alignment horizontal="center"/>
    </xf>
    <xf numFmtId="176" fontId="26" fillId="6" borderId="22" xfId="0" applyNumberFormat="1" applyFont="1" applyFill="1" applyBorder="1" applyAlignment="1">
      <alignment horizontal="center"/>
    </xf>
    <xf numFmtId="1" fontId="26" fillId="6" borderId="17" xfId="0" applyNumberFormat="1" applyFont="1" applyFill="1" applyBorder="1" applyAlignment="1">
      <alignment horizontal="center"/>
    </xf>
    <xf numFmtId="0" fontId="5" fillId="0" borderId="36" xfId="0" applyFont="1" applyBorder="1"/>
    <xf numFmtId="0" fontId="5" fillId="0" borderId="0" xfId="0" applyFont="1"/>
    <xf numFmtId="0" fontId="5" fillId="0" borderId="0" xfId="0" applyFont="1" applyFill="1"/>
    <xf numFmtId="0" fontId="26" fillId="0" borderId="0" xfId="0" applyFont="1" applyAlignment="1">
      <alignment horizontal="right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1" fillId="0" borderId="5" xfId="0" applyFont="1" applyBorder="1" applyAlignment="1">
      <alignment vertical="center" wrapText="1"/>
    </xf>
    <xf numFmtId="0" fontId="0" fillId="0" borderId="5" xfId="0" applyFont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51" fillId="0" borderId="0" xfId="0" applyFont="1" applyBorder="1" applyAlignment="1">
      <alignment horizontal="left" vertical="center" wrapText="1"/>
    </xf>
    <xf numFmtId="165" fontId="0" fillId="3" borderId="5" xfId="0" applyNumberForma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165" fontId="0" fillId="0" borderId="0" xfId="0" applyNumberForma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5" fontId="0" fillId="0" borderId="0" xfId="0" applyNumberFormat="1"/>
    <xf numFmtId="0" fontId="52" fillId="5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5" fontId="0" fillId="5" borderId="5" xfId="0" applyNumberFormat="1" applyFill="1" applyBorder="1" applyAlignment="1">
      <alignment horizontal="center" vertical="center"/>
    </xf>
    <xf numFmtId="0" fontId="2" fillId="0" borderId="0" xfId="1" applyFont="1" applyAlignment="1"/>
    <xf numFmtId="0" fontId="2" fillId="0" borderId="0" xfId="1" applyFont="1" applyAlignment="1">
      <alignment horizontal="right"/>
    </xf>
    <xf numFmtId="0" fontId="80" fillId="0" borderId="0" xfId="2"/>
    <xf numFmtId="0" fontId="7" fillId="0" borderId="0" xfId="1" applyAlignment="1">
      <alignment wrapText="1"/>
    </xf>
    <xf numFmtId="0" fontId="7" fillId="0" borderId="0" xfId="1" applyAlignment="1">
      <alignment horizontal="right" wrapText="1"/>
    </xf>
    <xf numFmtId="0" fontId="7" fillId="0" borderId="46" xfId="1" applyBorder="1" applyAlignment="1">
      <alignment horizontal="center" vertical="center" wrapText="1"/>
    </xf>
    <xf numFmtId="0" fontId="7" fillId="0" borderId="47" xfId="1" applyBorder="1" applyAlignment="1">
      <alignment horizontal="center" vertical="center" wrapText="1"/>
    </xf>
    <xf numFmtId="0" fontId="80" fillId="0" borderId="0" xfId="2" applyAlignment="1">
      <alignment wrapText="1"/>
    </xf>
    <xf numFmtId="0" fontId="3" fillId="0" borderId="48" xfId="1" applyFont="1" applyBorder="1" applyAlignment="1">
      <alignment horizontal="center" vertical="center"/>
    </xf>
    <xf numFmtId="0" fontId="3" fillId="0" borderId="49" xfId="1" applyFont="1" applyBorder="1" applyAlignment="1">
      <alignment horizontal="left" vertical="center"/>
    </xf>
    <xf numFmtId="0" fontId="6" fillId="0" borderId="16" xfId="1" applyFont="1" applyBorder="1" applyAlignment="1">
      <alignment horizontal="right" vertical="center"/>
    </xf>
    <xf numFmtId="178" fontId="3" fillId="5" borderId="50" xfId="1" applyNumberFormat="1" applyFont="1" applyFill="1" applyBorder="1" applyAlignment="1">
      <alignment horizontal="center" vertical="center"/>
    </xf>
    <xf numFmtId="0" fontId="3" fillId="5" borderId="30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right" vertical="center"/>
    </xf>
    <xf numFmtId="0" fontId="3" fillId="5" borderId="7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left" vertical="center"/>
    </xf>
    <xf numFmtId="178" fontId="3" fillId="5" borderId="5" xfId="1" applyNumberFormat="1" applyFont="1" applyFill="1" applyBorder="1" applyAlignment="1">
      <alignment horizontal="center" vertical="center"/>
    </xf>
    <xf numFmtId="0" fontId="3" fillId="0" borderId="51" xfId="1" applyFont="1" applyBorder="1" applyAlignment="1">
      <alignment horizontal="center" vertical="center"/>
    </xf>
    <xf numFmtId="0" fontId="3" fillId="5" borderId="52" xfId="1" applyFont="1" applyFill="1" applyBorder="1" applyAlignment="1">
      <alignment horizontal="center" vertical="center"/>
    </xf>
    <xf numFmtId="0" fontId="3" fillId="0" borderId="21" xfId="1" applyFont="1" applyBorder="1" applyAlignment="1">
      <alignment horizontal="left" vertical="center"/>
    </xf>
    <xf numFmtId="0" fontId="6" fillId="0" borderId="53" xfId="1" applyFont="1" applyBorder="1" applyAlignment="1">
      <alignment horizontal="right" vertical="center"/>
    </xf>
    <xf numFmtId="0" fontId="3" fillId="0" borderId="52" xfId="1" applyFont="1" applyFill="1" applyBorder="1" applyAlignment="1">
      <alignment horizontal="center" vertical="center"/>
    </xf>
    <xf numFmtId="0" fontId="6" fillId="0" borderId="21" xfId="1" applyFont="1" applyBorder="1" applyAlignment="1">
      <alignment horizontal="left" vertical="center"/>
    </xf>
    <xf numFmtId="0" fontId="3" fillId="0" borderId="54" xfId="1" applyFont="1" applyBorder="1" applyAlignment="1">
      <alignment horizontal="center" vertical="center"/>
    </xf>
    <xf numFmtId="0" fontId="6" fillId="0" borderId="23" xfId="1" applyFont="1" applyBorder="1" applyAlignment="1">
      <alignment horizontal="left" vertical="center"/>
    </xf>
    <xf numFmtId="0" fontId="6" fillId="0" borderId="18" xfId="1" applyFont="1" applyBorder="1" applyAlignment="1">
      <alignment horizontal="right" vertical="center"/>
    </xf>
    <xf numFmtId="178" fontId="3" fillId="5" borderId="27" xfId="1" applyNumberFormat="1" applyFont="1" applyFill="1" applyBorder="1" applyAlignment="1">
      <alignment horizontal="center" vertical="center"/>
    </xf>
    <xf numFmtId="0" fontId="3" fillId="5" borderId="17" xfId="1" applyFont="1" applyFill="1" applyBorder="1" applyAlignment="1">
      <alignment horizontal="center" vertical="center"/>
    </xf>
    <xf numFmtId="0" fontId="80" fillId="0" borderId="0" xfId="2" applyAlignment="1">
      <alignment horizontal="right"/>
    </xf>
    <xf numFmtId="178" fontId="3" fillId="5" borderId="25" xfId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3" fillId="0" borderId="55" xfId="0" applyFont="1" applyBorder="1" applyAlignment="1">
      <alignment horizontal="center" vertical="center"/>
    </xf>
    <xf numFmtId="0" fontId="3" fillId="0" borderId="50" xfId="0" applyFont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178" fontId="3" fillId="5" borderId="5" xfId="0" applyNumberFormat="1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78" fontId="3" fillId="5" borderId="27" xfId="0" applyNumberFormat="1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80" fillId="0" borderId="0" xfId="3"/>
    <xf numFmtId="0" fontId="56" fillId="0" borderId="0" xfId="3" applyFont="1" applyFill="1" applyAlignment="1">
      <alignment vertical="center"/>
    </xf>
    <xf numFmtId="0" fontId="57" fillId="0" borderId="0" xfId="3" applyFont="1" applyFill="1" applyAlignment="1">
      <alignment horizontal="left" vertical="center"/>
    </xf>
    <xf numFmtId="0" fontId="56" fillId="0" borderId="13" xfId="3" applyFont="1" applyFill="1" applyBorder="1" applyAlignment="1">
      <alignment vertical="center"/>
    </xf>
    <xf numFmtId="0" fontId="56" fillId="0" borderId="0" xfId="3" applyFont="1" applyFill="1" applyBorder="1" applyAlignment="1">
      <alignment vertical="center"/>
    </xf>
    <xf numFmtId="0" fontId="56" fillId="0" borderId="14" xfId="3" applyFont="1" applyFill="1" applyBorder="1" applyAlignment="1">
      <alignment vertical="center"/>
    </xf>
    <xf numFmtId="0" fontId="58" fillId="0" borderId="13" xfId="3" applyFont="1" applyFill="1" applyBorder="1" applyAlignment="1">
      <alignment vertical="center"/>
    </xf>
    <xf numFmtId="0" fontId="56" fillId="0" borderId="13" xfId="3" applyFont="1" applyFill="1" applyBorder="1" applyAlignment="1">
      <alignment horizontal="right" vertical="center"/>
    </xf>
    <xf numFmtId="0" fontId="56" fillId="0" borderId="0" xfId="3" applyFont="1" applyFill="1" applyBorder="1" applyAlignment="1">
      <alignment horizontal="right" vertical="center"/>
    </xf>
    <xf numFmtId="0" fontId="56" fillId="0" borderId="13" xfId="3" applyFont="1" applyBorder="1" applyAlignment="1">
      <alignment vertical="center"/>
    </xf>
    <xf numFmtId="0" fontId="56" fillId="0" borderId="0" xfId="3" applyFont="1" applyBorder="1" applyAlignment="1">
      <alignment vertical="center"/>
    </xf>
    <xf numFmtId="0" fontId="56" fillId="0" borderId="14" xfId="3" applyFont="1" applyBorder="1" applyAlignment="1">
      <alignment vertical="center"/>
    </xf>
    <xf numFmtId="0" fontId="58" fillId="0" borderId="13" xfId="3" applyFont="1" applyBorder="1" applyAlignment="1">
      <alignment vertical="center"/>
    </xf>
    <xf numFmtId="0" fontId="60" fillId="0" borderId="14" xfId="3" applyFont="1" applyBorder="1" applyAlignment="1">
      <alignment horizontal="center" vertical="center"/>
    </xf>
    <xf numFmtId="0" fontId="60" fillId="0" borderId="0" xfId="3" applyFont="1" applyBorder="1" applyAlignment="1">
      <alignment horizontal="right" vertical="center"/>
    </xf>
    <xf numFmtId="0" fontId="60" fillId="0" borderId="0" xfId="3" applyFont="1" applyBorder="1" applyAlignment="1">
      <alignment horizontal="center" vertical="center" wrapText="1"/>
    </xf>
    <xf numFmtId="0" fontId="56" fillId="0" borderId="2" xfId="3" applyFont="1" applyBorder="1" applyAlignment="1">
      <alignment horizontal="center" vertical="center"/>
    </xf>
    <xf numFmtId="0" fontId="56" fillId="0" borderId="14" xfId="3" applyFont="1" applyBorder="1" applyAlignment="1"/>
    <xf numFmtId="0" fontId="56" fillId="0" borderId="56" xfId="3" applyFont="1" applyBorder="1" applyAlignment="1">
      <alignment vertical="center"/>
    </xf>
    <xf numFmtId="0" fontId="56" fillId="0" borderId="57" xfId="3" applyFont="1" applyBorder="1" applyAlignment="1">
      <alignment vertical="center"/>
    </xf>
    <xf numFmtId="0" fontId="56" fillId="0" borderId="0" xfId="3" applyFont="1" applyAlignment="1">
      <alignment horizontal="right" vertical="center"/>
    </xf>
    <xf numFmtId="0" fontId="56" fillId="0" borderId="0" xfId="3" applyFont="1" applyAlignment="1">
      <alignment vertical="center"/>
    </xf>
    <xf numFmtId="0" fontId="60" fillId="0" borderId="0" xfId="3" applyFont="1" applyAlignment="1">
      <alignment vertical="center"/>
    </xf>
    <xf numFmtId="0" fontId="60" fillId="0" borderId="0" xfId="3" applyFont="1" applyAlignment="1">
      <alignment horizontal="right" vertical="center"/>
    </xf>
    <xf numFmtId="0" fontId="56" fillId="0" borderId="21" xfId="3" applyFont="1" applyBorder="1" applyAlignment="1">
      <alignment horizontal="center" vertical="center"/>
    </xf>
    <xf numFmtId="0" fontId="56" fillId="0" borderId="0" xfId="3" applyFont="1" applyBorder="1" applyAlignment="1">
      <alignment horizontal="center" vertical="center"/>
    </xf>
    <xf numFmtId="178" fontId="56" fillId="0" borderId="56" xfId="3" applyNumberFormat="1" applyFont="1" applyFill="1" applyBorder="1" applyAlignment="1">
      <alignment horizontal="center" vertical="center"/>
    </xf>
    <xf numFmtId="15" fontId="10" fillId="4" borderId="33" xfId="0" applyNumberFormat="1" applyFont="1" applyFill="1" applyBorder="1" applyAlignment="1" applyProtection="1">
      <alignment horizontal="center"/>
    </xf>
    <xf numFmtId="0" fontId="3" fillId="0" borderId="3" xfId="0" applyFont="1" applyFill="1" applyBorder="1" applyAlignment="1">
      <alignment horizontal="center" vertical="center"/>
    </xf>
    <xf numFmtId="15" fontId="3" fillId="0" borderId="5" xfId="0" applyNumberFormat="1" applyFont="1" applyFill="1" applyBorder="1" applyAlignment="1">
      <alignment horizontal="center" vertical="center"/>
    </xf>
    <xf numFmtId="0" fontId="56" fillId="0" borderId="56" xfId="3" applyFont="1" applyFill="1" applyBorder="1" applyAlignment="1">
      <alignment horizontal="center" vertical="center"/>
    </xf>
    <xf numFmtId="0" fontId="56" fillId="0" borderId="0" xfId="3" applyFont="1" applyBorder="1" applyAlignment="1">
      <alignment horizontal="right" vertical="center"/>
    </xf>
    <xf numFmtId="0" fontId="56" fillId="0" borderId="13" xfId="3" applyFont="1" applyBorder="1" applyAlignment="1">
      <alignment horizontal="right" vertical="center"/>
    </xf>
    <xf numFmtId="0" fontId="56" fillId="0" borderId="56" xfId="3" applyFont="1" applyBorder="1" applyAlignment="1">
      <alignment horizontal="center" vertical="center"/>
    </xf>
    <xf numFmtId="171" fontId="12" fillId="0" borderId="1" xfId="0" applyNumberFormat="1" applyFont="1" applyFill="1" applyBorder="1" applyAlignment="1" applyProtection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5" borderId="0" xfId="0" applyFont="1" applyFill="1" applyBorder="1" applyAlignment="1" applyProtection="1">
      <alignment horizontal="center"/>
    </xf>
    <xf numFmtId="0" fontId="8" fillId="0" borderId="0" xfId="0" applyFont="1" applyFill="1" applyBorder="1" applyAlignment="1" applyProtection="1">
      <alignment horizontal="center"/>
    </xf>
    <xf numFmtId="0" fontId="51" fillId="0" borderId="5" xfId="0" applyFont="1" applyBorder="1" applyAlignment="1">
      <alignment horizontal="left" vertical="center" wrapText="1"/>
    </xf>
    <xf numFmtId="14" fontId="56" fillId="0" borderId="56" xfId="3" applyNumberFormat="1" applyFont="1" applyBorder="1" applyAlignment="1">
      <alignment horizontal="center" vertical="center"/>
    </xf>
    <xf numFmtId="0" fontId="56" fillId="0" borderId="13" xfId="3" applyFont="1" applyBorder="1" applyAlignment="1">
      <alignment horizontal="right" vertical="center"/>
    </xf>
    <xf numFmtId="0" fontId="56" fillId="0" borderId="0" xfId="3" applyFont="1" applyBorder="1" applyAlignment="1">
      <alignment horizontal="right" vertical="center"/>
    </xf>
    <xf numFmtId="0" fontId="56" fillId="0" borderId="56" xfId="3" applyFont="1" applyBorder="1" applyAlignment="1">
      <alignment horizontal="center" vertical="center"/>
    </xf>
    <xf numFmtId="0" fontId="64" fillId="0" borderId="13" xfId="3" applyFont="1" applyBorder="1" applyAlignment="1">
      <alignment horizontal="right" vertical="center"/>
    </xf>
    <xf numFmtId="0" fontId="64" fillId="0" borderId="0" xfId="3" applyFont="1" applyBorder="1" applyAlignment="1">
      <alignment horizontal="right" vertical="center"/>
    </xf>
    <xf numFmtId="0" fontId="56" fillId="0" borderId="41" xfId="3" applyFont="1" applyBorder="1" applyAlignment="1">
      <alignment horizontal="right" vertical="center"/>
    </xf>
    <xf numFmtId="0" fontId="56" fillId="0" borderId="56" xfId="3" applyFont="1" applyBorder="1" applyAlignment="1">
      <alignment horizontal="right" vertical="center"/>
    </xf>
    <xf numFmtId="0" fontId="56" fillId="0" borderId="0" xfId="3" applyFont="1" applyBorder="1" applyAlignment="1">
      <alignment horizontal="right" vertical="center" wrapText="1"/>
    </xf>
    <xf numFmtId="0" fontId="56" fillId="0" borderId="56" xfId="3" applyFont="1" applyFill="1" applyBorder="1" applyAlignment="1">
      <alignment horizontal="center" vertical="center"/>
    </xf>
    <xf numFmtId="0" fontId="56" fillId="0" borderId="2" xfId="3" applyFont="1" applyFill="1" applyBorder="1" applyAlignment="1">
      <alignment horizontal="center" vertical="center"/>
    </xf>
    <xf numFmtId="0" fontId="56" fillId="0" borderId="0" xfId="3" applyFont="1" applyFill="1" applyAlignment="1">
      <alignment horizontal="right" vertical="center"/>
    </xf>
    <xf numFmtId="0" fontId="54" fillId="0" borderId="20" xfId="3" applyFont="1" applyFill="1" applyBorder="1" applyAlignment="1">
      <alignment horizontal="center" vertical="center"/>
    </xf>
    <xf numFmtId="0" fontId="54" fillId="0" borderId="21" xfId="3" applyFont="1" applyFill="1" applyBorder="1" applyAlignment="1">
      <alignment horizontal="center" vertical="center"/>
    </xf>
    <xf numFmtId="0" fontId="54" fillId="0" borderId="53" xfId="3" applyFont="1" applyFill="1" applyBorder="1" applyAlignment="1">
      <alignment horizontal="center" vertical="center"/>
    </xf>
    <xf numFmtId="0" fontId="59" fillId="0" borderId="13" xfId="3" applyFont="1" applyFill="1" applyBorder="1" applyAlignment="1">
      <alignment horizontal="center" vertical="center"/>
    </xf>
    <xf numFmtId="0" fontId="59" fillId="0" borderId="0" xfId="3" applyFont="1" applyFill="1" applyBorder="1" applyAlignment="1">
      <alignment horizontal="center" vertical="center"/>
    </xf>
    <xf numFmtId="0" fontId="59" fillId="0" borderId="14" xfId="3" applyFont="1" applyFill="1" applyBorder="1" applyAlignment="1">
      <alignment horizontal="center" vertical="center"/>
    </xf>
    <xf numFmtId="0" fontId="53" fillId="0" borderId="0" xfId="3" applyFont="1" applyAlignment="1">
      <alignment horizontal="center" vertical="center"/>
    </xf>
    <xf numFmtId="14" fontId="56" fillId="0" borderId="56" xfId="3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 applyProtection="1">
      <alignment horizontal="center" vertical="center"/>
    </xf>
    <xf numFmtId="0" fontId="8" fillId="5" borderId="0" xfId="0" applyFont="1" applyFill="1" applyBorder="1" applyAlignment="1" applyProtection="1">
      <alignment horizontal="center"/>
    </xf>
    <xf numFmtId="167" fontId="12" fillId="5" borderId="8" xfId="0" applyNumberFormat="1" applyFont="1" applyFill="1" applyBorder="1" applyAlignment="1" applyProtection="1">
      <alignment horizontal="center"/>
    </xf>
    <xf numFmtId="0" fontId="8" fillId="0" borderId="0" xfId="0" applyFont="1" applyFill="1" applyBorder="1" applyAlignment="1" applyProtection="1">
      <alignment horizontal="center"/>
    </xf>
    <xf numFmtId="0" fontId="9" fillId="0" borderId="0" xfId="0" applyFont="1" applyAlignment="1">
      <alignment horizontal="center"/>
    </xf>
    <xf numFmtId="166" fontId="13" fillId="5" borderId="8" xfId="0" applyNumberFormat="1" applyFont="1" applyFill="1" applyBorder="1" applyAlignment="1" applyProtection="1">
      <alignment horizontal="center"/>
      <protection locked="0"/>
    </xf>
    <xf numFmtId="0" fontId="19" fillId="0" borderId="48" xfId="0" applyFont="1" applyFill="1" applyBorder="1" applyAlignment="1" applyProtection="1">
      <alignment horizontal="center"/>
    </xf>
    <xf numFmtId="0" fontId="21" fillId="0" borderId="58" xfId="0" applyFont="1" applyBorder="1" applyAlignment="1">
      <alignment horizontal="center"/>
    </xf>
    <xf numFmtId="172" fontId="12" fillId="0" borderId="2" xfId="0" applyNumberFormat="1" applyFont="1" applyFill="1" applyBorder="1" applyAlignment="1" applyProtection="1">
      <alignment horizontal="center"/>
    </xf>
    <xf numFmtId="0" fontId="0" fillId="0" borderId="4" xfId="0" applyBorder="1"/>
    <xf numFmtId="0" fontId="24" fillId="5" borderId="5" xfId="0" applyFont="1" applyFill="1" applyBorder="1" applyAlignment="1" applyProtection="1">
      <alignment horizontal="center" vertical="distributed" readingOrder="1"/>
    </xf>
    <xf numFmtId="0" fontId="25" fillId="5" borderId="5" xfId="0" applyFont="1" applyFill="1" applyBorder="1" applyAlignment="1">
      <alignment horizontal="center" vertical="distributed" readingOrder="1"/>
    </xf>
    <xf numFmtId="171" fontId="12" fillId="0" borderId="1" xfId="0" applyNumberFormat="1" applyFont="1" applyFill="1" applyBorder="1" applyAlignment="1" applyProtection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6" fillId="0" borderId="0" xfId="0" applyFont="1" applyFill="1" applyBorder="1" applyAlignment="1" applyProtection="1">
      <alignment horizontal="justify" vertical="top" wrapText="1"/>
    </xf>
    <xf numFmtId="0" fontId="10" fillId="5" borderId="0" xfId="0" applyFont="1" applyFill="1" applyBorder="1" applyAlignment="1" applyProtection="1">
      <alignment horizontal="center"/>
      <protection locked="0"/>
    </xf>
    <xf numFmtId="0" fontId="36" fillId="0" borderId="0" xfId="0" applyFont="1" applyFill="1" applyBorder="1" applyAlignment="1" applyProtection="1">
      <alignment horizontal="left"/>
    </xf>
    <xf numFmtId="166" fontId="12" fillId="0" borderId="1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Alignment="1" applyProtection="1">
      <alignment horizontal="center"/>
    </xf>
    <xf numFmtId="0" fontId="5" fillId="0" borderId="4" xfId="0" applyFont="1" applyBorder="1" applyAlignment="1">
      <alignment horizontal="center"/>
    </xf>
    <xf numFmtId="0" fontId="24" fillId="5" borderId="4" xfId="0" applyFont="1" applyFill="1" applyBorder="1" applyAlignment="1" applyProtection="1">
      <alignment horizontal="center" vertical="distributed" readingOrder="1"/>
    </xf>
    <xf numFmtId="0" fontId="25" fillId="5" borderId="4" xfId="0" applyFont="1" applyFill="1" applyBorder="1" applyAlignment="1">
      <alignment horizontal="center" vertical="distributed" readingOrder="1"/>
    </xf>
    <xf numFmtId="0" fontId="10" fillId="0" borderId="24" xfId="0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178" fontId="56" fillId="0" borderId="56" xfId="3" applyNumberFormat="1" applyFont="1" applyBorder="1" applyAlignment="1">
      <alignment horizontal="center" vertical="center"/>
    </xf>
    <xf numFmtId="15" fontId="56" fillId="0" borderId="56" xfId="3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3" fillId="0" borderId="48" xfId="0" applyNumberFormat="1" applyFont="1" applyBorder="1" applyAlignment="1">
      <alignment horizontal="right" vertical="center"/>
    </xf>
    <xf numFmtId="164" fontId="3" fillId="0" borderId="16" xfId="0" applyNumberFormat="1" applyFont="1" applyBorder="1" applyAlignment="1">
      <alignment horizontal="right" vertical="center"/>
    </xf>
    <xf numFmtId="0" fontId="4" fillId="0" borderId="59" xfId="0" applyFont="1" applyBorder="1" applyAlignment="1">
      <alignment horizontal="left" vertical="center"/>
    </xf>
    <xf numFmtId="0" fontId="4" fillId="0" borderId="60" xfId="0" applyFont="1" applyBorder="1" applyAlignment="1">
      <alignment horizontal="left" vertical="center"/>
    </xf>
    <xf numFmtId="0" fontId="51" fillId="0" borderId="5" xfId="0" applyFont="1" applyBorder="1" applyAlignment="1">
      <alignment horizontal="left" vertical="center" wrapText="1"/>
    </xf>
    <xf numFmtId="0" fontId="51" fillId="0" borderId="5" xfId="0" applyFont="1" applyBorder="1" applyAlignment="1">
      <alignment horizontal="left" vertical="center"/>
    </xf>
    <xf numFmtId="0" fontId="73" fillId="0" borderId="13" xfId="3" applyFont="1" applyBorder="1" applyAlignment="1">
      <alignment horizontal="left" vertical="center"/>
    </xf>
    <xf numFmtId="0" fontId="73" fillId="0" borderId="0" xfId="3" applyFont="1" applyBorder="1" applyAlignment="1">
      <alignment horizontal="left" vertical="center"/>
    </xf>
    <xf numFmtId="0" fontId="73" fillId="0" borderId="14" xfId="3" applyFont="1" applyBorder="1" applyAlignment="1">
      <alignment horizontal="left" vertical="center"/>
    </xf>
    <xf numFmtId="0" fontId="73" fillId="0" borderId="41" xfId="3" applyFont="1" applyBorder="1" applyAlignment="1">
      <alignment horizontal="left" vertical="center" wrapText="1"/>
    </xf>
    <xf numFmtId="0" fontId="73" fillId="0" borderId="56" xfId="3" applyFont="1" applyBorder="1" applyAlignment="1">
      <alignment horizontal="left" vertical="center" wrapText="1"/>
    </xf>
    <xf numFmtId="0" fontId="73" fillId="0" borderId="57" xfId="3" applyFont="1" applyBorder="1" applyAlignment="1">
      <alignment horizontal="left" vertical="center" wrapText="1"/>
    </xf>
    <xf numFmtId="20" fontId="56" fillId="0" borderId="56" xfId="3" applyNumberFormat="1" applyFont="1" applyFill="1" applyBorder="1" applyAlignment="1">
      <alignment horizontal="center" vertical="center"/>
    </xf>
    <xf numFmtId="0" fontId="82" fillId="0" borderId="24" xfId="0" applyFont="1" applyBorder="1" applyAlignment="1">
      <alignment horizontal="center" vertical="center"/>
    </xf>
    <xf numFmtId="165" fontId="3" fillId="5" borderId="7" xfId="0" applyNumberFormat="1" applyFont="1" applyFill="1" applyBorder="1" applyAlignment="1">
      <alignment horizontal="center" vertical="center"/>
    </xf>
    <xf numFmtId="0" fontId="56" fillId="0" borderId="56" xfId="3" applyFont="1" applyFill="1" applyBorder="1" applyAlignment="1">
      <alignment horizontal="left" vertical="center"/>
    </xf>
    <xf numFmtId="178" fontId="56" fillId="0" borderId="56" xfId="6" applyNumberFormat="1" applyFont="1" applyFill="1" applyBorder="1" applyAlignment="1">
      <alignment horizontal="center" vertical="center"/>
    </xf>
    <xf numFmtId="0" fontId="56" fillId="0" borderId="2" xfId="6" applyFont="1" applyFill="1" applyBorder="1" applyAlignment="1">
      <alignment horizontal="center" vertical="center"/>
    </xf>
    <xf numFmtId="0" fontId="56" fillId="0" borderId="56" xfId="6" applyFont="1" applyFill="1" applyBorder="1" applyAlignment="1">
      <alignment horizontal="center" vertical="center"/>
    </xf>
  </cellXfs>
  <cellStyles count="7">
    <cellStyle name="Normal" xfId="0" builtinId="0"/>
    <cellStyle name="Normal 2" xfId="1"/>
    <cellStyle name="Normal 3" xfId="2"/>
    <cellStyle name="Normal 4" xfId="3"/>
    <cellStyle name="Normal 4 2" xfId="6"/>
    <cellStyle name="Percent" xfId="4" builtinId="5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checked="Checked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checked="Checked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checked="Checked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checked="Checked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checked="Checked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checked="Checked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checked="Checked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checked="Checked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checked="Checked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checked="Checked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checked="Checked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checked="Checked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checked="Checked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checked="Checked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checked="Checked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checked="Checked" lockText="1"/>
</file>

<file path=xl/ctrlProps/ctrlProp48.xml><?xml version="1.0" encoding="utf-8"?>
<formControlPr xmlns="http://schemas.microsoft.com/office/spreadsheetml/2009/9/main" objectType="CheckBox" lockText="1"/>
</file>

<file path=xl/ctrlProps/ctrlProp49.xml><?xml version="1.0" encoding="utf-8"?>
<formControlPr xmlns="http://schemas.microsoft.com/office/spreadsheetml/2009/9/main" objectType="CheckBox" checked="Checked" lockText="1"/>
</file>

<file path=xl/ctrlProps/ctrlProp50.xml><?xml version="1.0" encoding="utf-8"?>
<formControlPr xmlns="http://schemas.microsoft.com/office/spreadsheetml/2009/9/main" objectType="CheckBox" lockText="1"/>
</file>

<file path=xl/ctrlProps/ctrlProp51.xml><?xml version="1.0" encoding="utf-8"?>
<formControlPr xmlns="http://schemas.microsoft.com/office/spreadsheetml/2009/9/main" objectType="CheckBox" checked="Checked" lockText="1"/>
</file>

<file path=xl/ctrlProps/ctrlProp52.xml><?xml version="1.0" encoding="utf-8"?>
<formControlPr xmlns="http://schemas.microsoft.com/office/spreadsheetml/2009/9/main" objectType="CheckBox" lockText="1"/>
</file>

<file path=xl/ctrlProps/ctrlProp53.xml><?xml version="1.0" encoding="utf-8"?>
<formControlPr xmlns="http://schemas.microsoft.com/office/spreadsheetml/2009/9/main" objectType="CheckBox" lockText="1"/>
</file>

<file path=xl/ctrlProps/ctrlProp54.xml><?xml version="1.0" encoding="utf-8"?>
<formControlPr xmlns="http://schemas.microsoft.com/office/spreadsheetml/2009/9/main" objectType="CheckBox" lockText="1"/>
</file>

<file path=xl/ctrlProps/ctrlProp55.xml><?xml version="1.0" encoding="utf-8"?>
<formControlPr xmlns="http://schemas.microsoft.com/office/spreadsheetml/2009/9/main" objectType="CheckBox" lockText="1"/>
</file>

<file path=xl/ctrlProps/ctrlProp56.xml><?xml version="1.0" encoding="utf-8"?>
<formControlPr xmlns="http://schemas.microsoft.com/office/spreadsheetml/2009/9/main" objectType="CheckBox" lockText="1"/>
</file>

<file path=xl/ctrlProps/ctrlProp57.xml><?xml version="1.0" encoding="utf-8"?>
<formControlPr xmlns="http://schemas.microsoft.com/office/spreadsheetml/2009/9/main" objectType="CheckBox" checked="Checked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checked="Checked" lockText="1"/>
</file>

<file path=xl/ctrlProps/ctrlProp62.xml><?xml version="1.0" encoding="utf-8"?>
<formControlPr xmlns="http://schemas.microsoft.com/office/spreadsheetml/2009/9/main" objectType="CheckBox" lockText="1"/>
</file>

<file path=xl/ctrlProps/ctrlProp63.xml><?xml version="1.0" encoding="utf-8"?>
<formControlPr xmlns="http://schemas.microsoft.com/office/spreadsheetml/2009/9/main" objectType="CheckBox" checked="Checked" lockText="1"/>
</file>

<file path=xl/ctrlProps/ctrlProp64.xml><?xml version="1.0" encoding="utf-8"?>
<formControlPr xmlns="http://schemas.microsoft.com/office/spreadsheetml/2009/9/main" objectType="CheckBox" lockText="1"/>
</file>

<file path=xl/ctrlProps/ctrlProp65.xml><?xml version="1.0" encoding="utf-8"?>
<formControlPr xmlns="http://schemas.microsoft.com/office/spreadsheetml/2009/9/main" objectType="CheckBox" checked="Checked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lockText="1"/>
</file>

<file path=xl/ctrlProps/ctrlProp68.xml><?xml version="1.0" encoding="utf-8"?>
<formControlPr xmlns="http://schemas.microsoft.com/office/spreadsheetml/2009/9/main" objectType="CheckBox" lockText="1"/>
</file>

<file path=xl/ctrlProps/ctrlProp69.xml><?xml version="1.0" encoding="utf-8"?>
<formControlPr xmlns="http://schemas.microsoft.com/office/spreadsheetml/2009/9/main" objectType="CheckBox" lockText="1"/>
</file>

<file path=xl/ctrlProps/ctrlProp70.xml><?xml version="1.0" encoding="utf-8"?>
<formControlPr xmlns="http://schemas.microsoft.com/office/spreadsheetml/2009/9/main" objectType="CheckBox" lockText="1"/>
</file>

<file path=xl/ctrlProps/ctrlProp71.xml><?xml version="1.0" encoding="utf-8"?>
<formControlPr xmlns="http://schemas.microsoft.com/office/spreadsheetml/2009/9/main" objectType="CheckBox" checked="Checked" lockText="1"/>
</file>

<file path=xl/ctrlProps/ctrlProp72.xml><?xml version="1.0" encoding="utf-8"?>
<formControlPr xmlns="http://schemas.microsoft.com/office/spreadsheetml/2009/9/main" objectType="CheckBox" lockText="1"/>
</file>

<file path=xl/ctrlProps/ctrlProp73.xml><?xml version="1.0" encoding="utf-8"?>
<formControlPr xmlns="http://schemas.microsoft.com/office/spreadsheetml/2009/9/main" objectType="CheckBox" checked="Checked" lockText="1"/>
</file>

<file path=xl/ctrlProps/ctrlProp74.xml><?xml version="1.0" encoding="utf-8"?>
<formControlPr xmlns="http://schemas.microsoft.com/office/spreadsheetml/2009/9/main" objectType="CheckBox" lockText="1"/>
</file>

<file path=xl/ctrlProps/ctrlProp75.xml><?xml version="1.0" encoding="utf-8"?>
<formControlPr xmlns="http://schemas.microsoft.com/office/spreadsheetml/2009/9/main" objectType="CheckBox" checked="Checked" lockText="1"/>
</file>

<file path=xl/ctrlProps/ctrlProp76.xml><?xml version="1.0" encoding="utf-8"?>
<formControlPr xmlns="http://schemas.microsoft.com/office/spreadsheetml/2009/9/main" objectType="CheckBox" lockText="1"/>
</file>

<file path=xl/ctrlProps/ctrlProp77.xml><?xml version="1.0" encoding="utf-8"?>
<formControlPr xmlns="http://schemas.microsoft.com/office/spreadsheetml/2009/9/main" objectType="CheckBox" checked="Checked" lockText="1"/>
</file>

<file path=xl/ctrlProps/ctrlProp78.xml><?xml version="1.0" encoding="utf-8"?>
<formControlPr xmlns="http://schemas.microsoft.com/office/spreadsheetml/2009/9/main" objectType="CheckBox" lockText="1"/>
</file>

<file path=xl/ctrlProps/ctrlProp79.xml><?xml version="1.0" encoding="utf-8"?>
<formControlPr xmlns="http://schemas.microsoft.com/office/spreadsheetml/2009/9/main" objectType="CheckBox" checked="Checked" lockText="1"/>
</file>

<file path=xl/ctrlProps/ctrlProp80.xml><?xml version="1.0" encoding="utf-8"?>
<formControlPr xmlns="http://schemas.microsoft.com/office/spreadsheetml/2009/9/main" objectType="CheckBox" lockText="1"/>
</file>

<file path=xl/ctrlProps/ctrlProp81.xml><?xml version="1.0" encoding="utf-8"?>
<formControlPr xmlns="http://schemas.microsoft.com/office/spreadsheetml/2009/9/main" objectType="CheckBox" checked="Checked" lockText="1"/>
</file>

<file path=xl/ctrlProps/ctrlProp82.xml><?xml version="1.0" encoding="utf-8"?>
<formControlPr xmlns="http://schemas.microsoft.com/office/spreadsheetml/2009/9/main" objectType="CheckBox" lockText="1"/>
</file>

<file path=xl/ctrlProps/ctrlProp83.xml><?xml version="1.0" encoding="utf-8"?>
<formControlPr xmlns="http://schemas.microsoft.com/office/spreadsheetml/2009/9/main" objectType="CheckBox" checked="Checked" lockText="1"/>
</file>

<file path=xl/ctrlProps/ctrlProp84.xml><?xml version="1.0" encoding="utf-8"?>
<formControlPr xmlns="http://schemas.microsoft.com/office/spreadsheetml/2009/9/main" objectType="CheckBox" lockText="1"/>
</file>

<file path=xl/ctrlProps/ctrlProp85.xml><?xml version="1.0" encoding="utf-8"?>
<formControlPr xmlns="http://schemas.microsoft.com/office/spreadsheetml/2009/9/main" objectType="CheckBox" lockText="1"/>
</file>

<file path=xl/ctrlProps/ctrlProp86.xml><?xml version="1.0" encoding="utf-8"?>
<formControlPr xmlns="http://schemas.microsoft.com/office/spreadsheetml/2009/9/main" objectType="CheckBox" lockText="1"/>
</file>

<file path=xl/ctrlProps/ctrlProp87.xml><?xml version="1.0" encoding="utf-8"?>
<formControlPr xmlns="http://schemas.microsoft.com/office/spreadsheetml/2009/9/main" objectType="CheckBox" checked="Checked" lockText="1"/>
</file>

<file path=xl/ctrlProps/ctrlProp88.xml><?xml version="1.0" encoding="utf-8"?>
<formControlPr xmlns="http://schemas.microsoft.com/office/spreadsheetml/2009/9/main" objectType="CheckBox" lockText="1"/>
</file>

<file path=xl/ctrlProps/ctrlProp89.xml><?xml version="1.0" encoding="utf-8"?>
<formControlPr xmlns="http://schemas.microsoft.com/office/spreadsheetml/2009/9/main" objectType="CheckBox" checked="Checked" lockText="1"/>
</file>

<file path=xl/ctrlProps/ctrlProp90.xml><?xml version="1.0" encoding="utf-8"?>
<formControlPr xmlns="http://schemas.microsoft.com/office/spreadsheetml/2009/9/main" objectType="CheckBox" lockText="1"/>
</file>

<file path=xl/ctrlProps/ctrlProp91.xml><?xml version="1.0" encoding="utf-8"?>
<formControlPr xmlns="http://schemas.microsoft.com/office/spreadsheetml/2009/9/main" objectType="CheckBox" lockText="1"/>
</file>

<file path=xl/ctrlProps/ctrlProp92.xml><?xml version="1.0" encoding="utf-8"?>
<formControlPr xmlns="http://schemas.microsoft.com/office/spreadsheetml/2009/9/main" objectType="CheckBox" lockText="1"/>
</file>

<file path=xl/ctrlProps/ctrlProp93.xml><?xml version="1.0" encoding="utf-8"?>
<formControlPr xmlns="http://schemas.microsoft.com/office/spreadsheetml/2009/9/main" objectType="CheckBox" checked="Checked" lockText="1"/>
</file>

<file path=xl/ctrlProps/ctrlProp94.xml><?xml version="1.0" encoding="utf-8"?>
<formControlPr xmlns="http://schemas.microsoft.com/office/spreadsheetml/2009/9/main" objectType="CheckBox" lockText="1"/>
</file>

<file path=xl/ctrlProps/ctrlProp95.xml><?xml version="1.0" encoding="utf-8"?>
<formControlPr xmlns="http://schemas.microsoft.com/office/spreadsheetml/2009/9/main" objectType="CheckBox" checked="Checked" lockText="1"/>
</file>

<file path=xl/ctrlProps/ctrlProp96.xml><?xml version="1.0" encoding="utf-8"?>
<formControlPr xmlns="http://schemas.microsoft.com/office/spreadsheetml/2009/9/main" objectType="CheckBox" lockText="1"/>
</file>

<file path=xl/ctrlProps/ctrlProp97.xml><?xml version="1.0" encoding="utf-8"?>
<formControlPr xmlns="http://schemas.microsoft.com/office/spreadsheetml/2009/9/main" objectType="CheckBox" checked="Checked" lockText="1"/>
</file>

<file path=xl/ctrlProps/ctrlProp98.xml><?xml version="1.0" encoding="utf-8"?>
<formControlPr xmlns="http://schemas.microsoft.com/office/spreadsheetml/2009/9/main" objectType="CheckBox" lockText="1"/>
</file>

<file path=xl/ctrlProps/ctrlProp99.xml><?xml version="1.0" encoding="utf-8"?>
<formControlPr xmlns="http://schemas.microsoft.com/office/spreadsheetml/2009/9/main" objectType="CheckBox" checked="Checked" lockText="1"/>
</file>

<file path=xl/ctrlProps/ctrlProp100.xml><?xml version="1.0" encoding="utf-8"?>
<formControlPr xmlns="http://schemas.microsoft.com/office/spreadsheetml/2009/9/main" objectType="CheckBox" lockText="1"/>
</file>

<file path=xl/ctrlProps/ctrlProp101.xml><?xml version="1.0" encoding="utf-8"?>
<formControlPr xmlns="http://schemas.microsoft.com/office/spreadsheetml/2009/9/main" objectType="CheckBox" checked="Checked" lockText="1"/>
</file>

<file path=xl/ctrlProps/ctrlProp102.xml><?xml version="1.0" encoding="utf-8"?>
<formControlPr xmlns="http://schemas.microsoft.com/office/spreadsheetml/2009/9/main" objectType="CheckBox" lockText="1"/>
</file>

<file path=xl/ctrlProps/ctrlProp103.xml><?xml version="1.0" encoding="utf-8"?>
<formControlPr xmlns="http://schemas.microsoft.com/office/spreadsheetml/2009/9/main" objectType="CheckBox" checked="Checked" lockText="1"/>
</file>

<file path=xl/ctrlProps/ctrlProp104.xml><?xml version="1.0" encoding="utf-8"?>
<formControlPr xmlns="http://schemas.microsoft.com/office/spreadsheetml/2009/9/main" objectType="CheckBox" lockText="1"/>
</file>

<file path=xl/ctrlProps/ctrlProp105.xml><?xml version="1.0" encoding="utf-8"?>
<formControlPr xmlns="http://schemas.microsoft.com/office/spreadsheetml/2009/9/main" objectType="CheckBox" checked="Checked" lockText="1"/>
</file>

<file path=xl/ctrlProps/ctrlProp106.xml><?xml version="1.0" encoding="utf-8"?>
<formControlPr xmlns="http://schemas.microsoft.com/office/spreadsheetml/2009/9/main" objectType="CheckBox" lockText="1"/>
</file>

<file path=xl/ctrlProps/ctrlProp107.xml><?xml version="1.0" encoding="utf-8"?>
<formControlPr xmlns="http://schemas.microsoft.com/office/spreadsheetml/2009/9/main" objectType="CheckBox" checked="Checked" lockText="1"/>
</file>

<file path=xl/ctrlProps/ctrlProp108.xml><?xml version="1.0" encoding="utf-8"?>
<formControlPr xmlns="http://schemas.microsoft.com/office/spreadsheetml/2009/9/main" objectType="CheckBox" lockText="1"/>
</file>

<file path=xl/ctrlProps/ctrlProp109.xml><?xml version="1.0" encoding="utf-8"?>
<formControlPr xmlns="http://schemas.microsoft.com/office/spreadsheetml/2009/9/main" objectType="CheckBox" checked="Checked" lockText="1"/>
</file>

<file path=xl/ctrlProps/ctrlProp110.xml><?xml version="1.0" encoding="utf-8"?>
<formControlPr xmlns="http://schemas.microsoft.com/office/spreadsheetml/2009/9/main" objectType="CheckBox" lockText="1"/>
</file>

<file path=xl/ctrlProps/ctrlProp111.xml><?xml version="1.0" encoding="utf-8"?>
<formControlPr xmlns="http://schemas.microsoft.com/office/spreadsheetml/2009/9/main" objectType="CheckBox" lockText="1"/>
</file>

<file path=xl/ctrlProps/ctrlProp112.xml><?xml version="1.0" encoding="utf-8"?>
<formControlPr xmlns="http://schemas.microsoft.com/office/spreadsheetml/2009/9/main" objectType="CheckBox" lockText="1"/>
</file>

<file path=xl/ctrlProps/ctrlProp113.xml><?xml version="1.0" encoding="utf-8"?>
<formControlPr xmlns="http://schemas.microsoft.com/office/spreadsheetml/2009/9/main" objectType="CheckBox" lockText="1"/>
</file>

<file path=xl/ctrlProps/ctrlProp114.xml><?xml version="1.0" encoding="utf-8"?>
<formControlPr xmlns="http://schemas.microsoft.com/office/spreadsheetml/2009/9/main" objectType="CheckBox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16</xdr:row>
          <xdr:rowOff>38100</xdr:rowOff>
        </xdr:from>
        <xdr:to>
          <xdr:col>8</xdr:col>
          <xdr:colOff>342900</xdr:colOff>
          <xdr:row>16</xdr:row>
          <xdr:rowOff>257175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16</xdr:row>
          <xdr:rowOff>38100</xdr:rowOff>
        </xdr:from>
        <xdr:to>
          <xdr:col>8</xdr:col>
          <xdr:colOff>962025</xdr:colOff>
          <xdr:row>16</xdr:row>
          <xdr:rowOff>257175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17</xdr:row>
          <xdr:rowOff>38100</xdr:rowOff>
        </xdr:from>
        <xdr:to>
          <xdr:col>8</xdr:col>
          <xdr:colOff>342900</xdr:colOff>
          <xdr:row>17</xdr:row>
          <xdr:rowOff>257175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17</xdr:row>
          <xdr:rowOff>38100</xdr:rowOff>
        </xdr:from>
        <xdr:to>
          <xdr:col>8</xdr:col>
          <xdr:colOff>962025</xdr:colOff>
          <xdr:row>17</xdr:row>
          <xdr:rowOff>257175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18</xdr:row>
          <xdr:rowOff>38100</xdr:rowOff>
        </xdr:from>
        <xdr:to>
          <xdr:col>8</xdr:col>
          <xdr:colOff>342900</xdr:colOff>
          <xdr:row>18</xdr:row>
          <xdr:rowOff>257175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18</xdr:row>
          <xdr:rowOff>38100</xdr:rowOff>
        </xdr:from>
        <xdr:to>
          <xdr:col>8</xdr:col>
          <xdr:colOff>962025</xdr:colOff>
          <xdr:row>18</xdr:row>
          <xdr:rowOff>257175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22</xdr:row>
          <xdr:rowOff>38100</xdr:rowOff>
        </xdr:from>
        <xdr:to>
          <xdr:col>8</xdr:col>
          <xdr:colOff>342900</xdr:colOff>
          <xdr:row>22</xdr:row>
          <xdr:rowOff>257175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22</xdr:row>
          <xdr:rowOff>38100</xdr:rowOff>
        </xdr:from>
        <xdr:to>
          <xdr:col>8</xdr:col>
          <xdr:colOff>962025</xdr:colOff>
          <xdr:row>22</xdr:row>
          <xdr:rowOff>257175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23</xdr:row>
          <xdr:rowOff>38100</xdr:rowOff>
        </xdr:from>
        <xdr:to>
          <xdr:col>8</xdr:col>
          <xdr:colOff>342900</xdr:colOff>
          <xdr:row>23</xdr:row>
          <xdr:rowOff>257175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23</xdr:row>
          <xdr:rowOff>38100</xdr:rowOff>
        </xdr:from>
        <xdr:to>
          <xdr:col>8</xdr:col>
          <xdr:colOff>962025</xdr:colOff>
          <xdr:row>23</xdr:row>
          <xdr:rowOff>257175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24</xdr:row>
          <xdr:rowOff>38100</xdr:rowOff>
        </xdr:from>
        <xdr:to>
          <xdr:col>8</xdr:col>
          <xdr:colOff>342900</xdr:colOff>
          <xdr:row>24</xdr:row>
          <xdr:rowOff>257175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24</xdr:row>
          <xdr:rowOff>38100</xdr:rowOff>
        </xdr:from>
        <xdr:to>
          <xdr:col>8</xdr:col>
          <xdr:colOff>962025</xdr:colOff>
          <xdr:row>24</xdr:row>
          <xdr:rowOff>257175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25</xdr:row>
          <xdr:rowOff>38100</xdr:rowOff>
        </xdr:from>
        <xdr:to>
          <xdr:col>8</xdr:col>
          <xdr:colOff>342900</xdr:colOff>
          <xdr:row>25</xdr:row>
          <xdr:rowOff>257175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25</xdr:row>
          <xdr:rowOff>38100</xdr:rowOff>
        </xdr:from>
        <xdr:to>
          <xdr:col>8</xdr:col>
          <xdr:colOff>962025</xdr:colOff>
          <xdr:row>25</xdr:row>
          <xdr:rowOff>257175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29</xdr:row>
          <xdr:rowOff>38100</xdr:rowOff>
        </xdr:from>
        <xdr:to>
          <xdr:col>8</xdr:col>
          <xdr:colOff>180975</xdr:colOff>
          <xdr:row>29</xdr:row>
          <xdr:rowOff>209550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HDR Bunker Closet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30</xdr:row>
          <xdr:rowOff>38100</xdr:rowOff>
        </xdr:from>
        <xdr:to>
          <xdr:col>8</xdr:col>
          <xdr:colOff>180975</xdr:colOff>
          <xdr:row>30</xdr:row>
          <xdr:rowOff>209550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Radioisotope Lab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31</xdr:row>
          <xdr:rowOff>38100</xdr:rowOff>
        </xdr:from>
        <xdr:to>
          <xdr:col>8</xdr:col>
          <xdr:colOff>180975</xdr:colOff>
          <xdr:row>31</xdr:row>
          <xdr:rowOff>209550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Co-60 Bunker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32</xdr:row>
          <xdr:rowOff>38100</xdr:rowOff>
        </xdr:from>
        <xdr:to>
          <xdr:col>7</xdr:col>
          <xdr:colOff>342900</xdr:colOff>
          <xdr:row>32</xdr:row>
          <xdr:rowOff>257175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32</xdr:row>
          <xdr:rowOff>38100</xdr:rowOff>
        </xdr:from>
        <xdr:to>
          <xdr:col>7</xdr:col>
          <xdr:colOff>962025</xdr:colOff>
          <xdr:row>32</xdr:row>
          <xdr:rowOff>257175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16</xdr:row>
          <xdr:rowOff>38100</xdr:rowOff>
        </xdr:from>
        <xdr:to>
          <xdr:col>8</xdr:col>
          <xdr:colOff>342900</xdr:colOff>
          <xdr:row>16</xdr:row>
          <xdr:rowOff>257175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16</xdr:row>
          <xdr:rowOff>38100</xdr:rowOff>
        </xdr:from>
        <xdr:to>
          <xdr:col>8</xdr:col>
          <xdr:colOff>962025</xdr:colOff>
          <xdr:row>16</xdr:row>
          <xdr:rowOff>257175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17</xdr:row>
          <xdr:rowOff>38100</xdr:rowOff>
        </xdr:from>
        <xdr:to>
          <xdr:col>8</xdr:col>
          <xdr:colOff>342900</xdr:colOff>
          <xdr:row>17</xdr:row>
          <xdr:rowOff>257175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17</xdr:row>
          <xdr:rowOff>38100</xdr:rowOff>
        </xdr:from>
        <xdr:to>
          <xdr:col>8</xdr:col>
          <xdr:colOff>962025</xdr:colOff>
          <xdr:row>17</xdr:row>
          <xdr:rowOff>257175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18</xdr:row>
          <xdr:rowOff>38100</xdr:rowOff>
        </xdr:from>
        <xdr:to>
          <xdr:col>8</xdr:col>
          <xdr:colOff>342900</xdr:colOff>
          <xdr:row>18</xdr:row>
          <xdr:rowOff>257175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18</xdr:row>
          <xdr:rowOff>38100</xdr:rowOff>
        </xdr:from>
        <xdr:to>
          <xdr:col>8</xdr:col>
          <xdr:colOff>962025</xdr:colOff>
          <xdr:row>18</xdr:row>
          <xdr:rowOff>257175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22</xdr:row>
          <xdr:rowOff>38100</xdr:rowOff>
        </xdr:from>
        <xdr:to>
          <xdr:col>8</xdr:col>
          <xdr:colOff>342900</xdr:colOff>
          <xdr:row>22</xdr:row>
          <xdr:rowOff>257175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22</xdr:row>
          <xdr:rowOff>38100</xdr:rowOff>
        </xdr:from>
        <xdr:to>
          <xdr:col>8</xdr:col>
          <xdr:colOff>962025</xdr:colOff>
          <xdr:row>22</xdr:row>
          <xdr:rowOff>257175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23</xdr:row>
          <xdr:rowOff>38100</xdr:rowOff>
        </xdr:from>
        <xdr:to>
          <xdr:col>8</xdr:col>
          <xdr:colOff>342900</xdr:colOff>
          <xdr:row>23</xdr:row>
          <xdr:rowOff>257175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23</xdr:row>
          <xdr:rowOff>38100</xdr:rowOff>
        </xdr:from>
        <xdr:to>
          <xdr:col>8</xdr:col>
          <xdr:colOff>962025</xdr:colOff>
          <xdr:row>23</xdr:row>
          <xdr:rowOff>257175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24</xdr:row>
          <xdr:rowOff>38100</xdr:rowOff>
        </xdr:from>
        <xdr:to>
          <xdr:col>8</xdr:col>
          <xdr:colOff>342900</xdr:colOff>
          <xdr:row>24</xdr:row>
          <xdr:rowOff>257175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24</xdr:row>
          <xdr:rowOff>38100</xdr:rowOff>
        </xdr:from>
        <xdr:to>
          <xdr:col>8</xdr:col>
          <xdr:colOff>962025</xdr:colOff>
          <xdr:row>24</xdr:row>
          <xdr:rowOff>257175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25</xdr:row>
          <xdr:rowOff>38100</xdr:rowOff>
        </xdr:from>
        <xdr:to>
          <xdr:col>8</xdr:col>
          <xdr:colOff>342900</xdr:colOff>
          <xdr:row>25</xdr:row>
          <xdr:rowOff>257175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25</xdr:row>
          <xdr:rowOff>38100</xdr:rowOff>
        </xdr:from>
        <xdr:to>
          <xdr:col>8</xdr:col>
          <xdr:colOff>962025</xdr:colOff>
          <xdr:row>25</xdr:row>
          <xdr:rowOff>257175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29</xdr:row>
          <xdr:rowOff>38100</xdr:rowOff>
        </xdr:from>
        <xdr:to>
          <xdr:col>8</xdr:col>
          <xdr:colOff>180975</xdr:colOff>
          <xdr:row>29</xdr:row>
          <xdr:rowOff>209550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HDR Bunker Closet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30</xdr:row>
          <xdr:rowOff>38100</xdr:rowOff>
        </xdr:from>
        <xdr:to>
          <xdr:col>8</xdr:col>
          <xdr:colOff>180975</xdr:colOff>
          <xdr:row>30</xdr:row>
          <xdr:rowOff>209550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Radioisotope Lab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31</xdr:row>
          <xdr:rowOff>38100</xdr:rowOff>
        </xdr:from>
        <xdr:to>
          <xdr:col>8</xdr:col>
          <xdr:colOff>180975</xdr:colOff>
          <xdr:row>31</xdr:row>
          <xdr:rowOff>209550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Co-60 Bunker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32</xdr:row>
          <xdr:rowOff>38100</xdr:rowOff>
        </xdr:from>
        <xdr:to>
          <xdr:col>7</xdr:col>
          <xdr:colOff>342900</xdr:colOff>
          <xdr:row>32</xdr:row>
          <xdr:rowOff>257175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657225</xdr:colOff>
          <xdr:row>32</xdr:row>
          <xdr:rowOff>38100</xdr:rowOff>
        </xdr:from>
        <xdr:to>
          <xdr:col>7</xdr:col>
          <xdr:colOff>962025</xdr:colOff>
          <xdr:row>32</xdr:row>
          <xdr:rowOff>257175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18</xdr:row>
          <xdr:rowOff>38100</xdr:rowOff>
        </xdr:from>
        <xdr:to>
          <xdr:col>8</xdr:col>
          <xdr:colOff>342900</xdr:colOff>
          <xdr:row>18</xdr:row>
          <xdr:rowOff>257175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18</xdr:row>
          <xdr:rowOff>38100</xdr:rowOff>
        </xdr:from>
        <xdr:to>
          <xdr:col>8</xdr:col>
          <xdr:colOff>962025</xdr:colOff>
          <xdr:row>18</xdr:row>
          <xdr:rowOff>257175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19</xdr:row>
          <xdr:rowOff>38100</xdr:rowOff>
        </xdr:from>
        <xdr:to>
          <xdr:col>8</xdr:col>
          <xdr:colOff>342900</xdr:colOff>
          <xdr:row>19</xdr:row>
          <xdr:rowOff>257175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19</xdr:row>
          <xdr:rowOff>38100</xdr:rowOff>
        </xdr:from>
        <xdr:to>
          <xdr:col>8</xdr:col>
          <xdr:colOff>962025</xdr:colOff>
          <xdr:row>19</xdr:row>
          <xdr:rowOff>257175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22</xdr:row>
          <xdr:rowOff>38100</xdr:rowOff>
        </xdr:from>
        <xdr:to>
          <xdr:col>8</xdr:col>
          <xdr:colOff>342900</xdr:colOff>
          <xdr:row>22</xdr:row>
          <xdr:rowOff>257175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22</xdr:row>
          <xdr:rowOff>38100</xdr:rowOff>
        </xdr:from>
        <xdr:to>
          <xdr:col>8</xdr:col>
          <xdr:colOff>962025</xdr:colOff>
          <xdr:row>22</xdr:row>
          <xdr:rowOff>257175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25</xdr:row>
          <xdr:rowOff>38100</xdr:rowOff>
        </xdr:from>
        <xdr:to>
          <xdr:col>8</xdr:col>
          <xdr:colOff>342900</xdr:colOff>
          <xdr:row>25</xdr:row>
          <xdr:rowOff>257175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25</xdr:row>
          <xdr:rowOff>38100</xdr:rowOff>
        </xdr:from>
        <xdr:to>
          <xdr:col>8</xdr:col>
          <xdr:colOff>962025</xdr:colOff>
          <xdr:row>25</xdr:row>
          <xdr:rowOff>257175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30</xdr:row>
          <xdr:rowOff>38100</xdr:rowOff>
        </xdr:from>
        <xdr:to>
          <xdr:col>8</xdr:col>
          <xdr:colOff>342900</xdr:colOff>
          <xdr:row>30</xdr:row>
          <xdr:rowOff>257175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30</xdr:row>
          <xdr:rowOff>38100</xdr:rowOff>
        </xdr:from>
        <xdr:to>
          <xdr:col>8</xdr:col>
          <xdr:colOff>962025</xdr:colOff>
          <xdr:row>30</xdr:row>
          <xdr:rowOff>257175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24</xdr:row>
          <xdr:rowOff>38100</xdr:rowOff>
        </xdr:from>
        <xdr:to>
          <xdr:col>8</xdr:col>
          <xdr:colOff>342900</xdr:colOff>
          <xdr:row>24</xdr:row>
          <xdr:rowOff>257175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24</xdr:row>
          <xdr:rowOff>38100</xdr:rowOff>
        </xdr:from>
        <xdr:to>
          <xdr:col>8</xdr:col>
          <xdr:colOff>962025</xdr:colOff>
          <xdr:row>24</xdr:row>
          <xdr:rowOff>257175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23</xdr:row>
          <xdr:rowOff>38100</xdr:rowOff>
        </xdr:from>
        <xdr:to>
          <xdr:col>8</xdr:col>
          <xdr:colOff>342900</xdr:colOff>
          <xdr:row>23</xdr:row>
          <xdr:rowOff>257175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23</xdr:row>
          <xdr:rowOff>38100</xdr:rowOff>
        </xdr:from>
        <xdr:to>
          <xdr:col>8</xdr:col>
          <xdr:colOff>962025</xdr:colOff>
          <xdr:row>23</xdr:row>
          <xdr:rowOff>257175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26</xdr:row>
          <xdr:rowOff>38100</xdr:rowOff>
        </xdr:from>
        <xdr:to>
          <xdr:col>8</xdr:col>
          <xdr:colOff>342900</xdr:colOff>
          <xdr:row>26</xdr:row>
          <xdr:rowOff>257175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26</xdr:row>
          <xdr:rowOff>38100</xdr:rowOff>
        </xdr:from>
        <xdr:to>
          <xdr:col>8</xdr:col>
          <xdr:colOff>962025</xdr:colOff>
          <xdr:row>26</xdr:row>
          <xdr:rowOff>257175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27</xdr:row>
          <xdr:rowOff>38100</xdr:rowOff>
        </xdr:from>
        <xdr:to>
          <xdr:col>8</xdr:col>
          <xdr:colOff>342900</xdr:colOff>
          <xdr:row>28</xdr:row>
          <xdr:rowOff>0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27</xdr:row>
          <xdr:rowOff>38100</xdr:rowOff>
        </xdr:from>
        <xdr:to>
          <xdr:col>8</xdr:col>
          <xdr:colOff>962025</xdr:colOff>
          <xdr:row>28</xdr:row>
          <xdr:rowOff>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18</xdr:row>
          <xdr:rowOff>38100</xdr:rowOff>
        </xdr:from>
        <xdr:to>
          <xdr:col>8</xdr:col>
          <xdr:colOff>342900</xdr:colOff>
          <xdr:row>18</xdr:row>
          <xdr:rowOff>257175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18</xdr:row>
          <xdr:rowOff>38100</xdr:rowOff>
        </xdr:from>
        <xdr:to>
          <xdr:col>8</xdr:col>
          <xdr:colOff>962025</xdr:colOff>
          <xdr:row>18</xdr:row>
          <xdr:rowOff>257175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19</xdr:row>
          <xdr:rowOff>38100</xdr:rowOff>
        </xdr:from>
        <xdr:to>
          <xdr:col>8</xdr:col>
          <xdr:colOff>342900</xdr:colOff>
          <xdr:row>19</xdr:row>
          <xdr:rowOff>257175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19</xdr:row>
          <xdr:rowOff>38100</xdr:rowOff>
        </xdr:from>
        <xdr:to>
          <xdr:col>8</xdr:col>
          <xdr:colOff>962025</xdr:colOff>
          <xdr:row>19</xdr:row>
          <xdr:rowOff>257175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22</xdr:row>
          <xdr:rowOff>38100</xdr:rowOff>
        </xdr:from>
        <xdr:to>
          <xdr:col>8</xdr:col>
          <xdr:colOff>342900</xdr:colOff>
          <xdr:row>22</xdr:row>
          <xdr:rowOff>257175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22</xdr:row>
          <xdr:rowOff>38100</xdr:rowOff>
        </xdr:from>
        <xdr:to>
          <xdr:col>8</xdr:col>
          <xdr:colOff>962025</xdr:colOff>
          <xdr:row>22</xdr:row>
          <xdr:rowOff>257175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25</xdr:row>
          <xdr:rowOff>38100</xdr:rowOff>
        </xdr:from>
        <xdr:to>
          <xdr:col>8</xdr:col>
          <xdr:colOff>342900</xdr:colOff>
          <xdr:row>25</xdr:row>
          <xdr:rowOff>257175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25</xdr:row>
          <xdr:rowOff>38100</xdr:rowOff>
        </xdr:from>
        <xdr:to>
          <xdr:col>8</xdr:col>
          <xdr:colOff>962025</xdr:colOff>
          <xdr:row>25</xdr:row>
          <xdr:rowOff>257175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30</xdr:row>
          <xdr:rowOff>38100</xdr:rowOff>
        </xdr:from>
        <xdr:to>
          <xdr:col>8</xdr:col>
          <xdr:colOff>342900</xdr:colOff>
          <xdr:row>30</xdr:row>
          <xdr:rowOff>257175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30</xdr:row>
          <xdr:rowOff>38100</xdr:rowOff>
        </xdr:from>
        <xdr:to>
          <xdr:col>8</xdr:col>
          <xdr:colOff>962025</xdr:colOff>
          <xdr:row>30</xdr:row>
          <xdr:rowOff>257175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24</xdr:row>
          <xdr:rowOff>38100</xdr:rowOff>
        </xdr:from>
        <xdr:to>
          <xdr:col>8</xdr:col>
          <xdr:colOff>342900</xdr:colOff>
          <xdr:row>24</xdr:row>
          <xdr:rowOff>257175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24</xdr:row>
          <xdr:rowOff>38100</xdr:rowOff>
        </xdr:from>
        <xdr:to>
          <xdr:col>8</xdr:col>
          <xdr:colOff>962025</xdr:colOff>
          <xdr:row>24</xdr:row>
          <xdr:rowOff>257175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23</xdr:row>
          <xdr:rowOff>38100</xdr:rowOff>
        </xdr:from>
        <xdr:to>
          <xdr:col>8</xdr:col>
          <xdr:colOff>342900</xdr:colOff>
          <xdr:row>23</xdr:row>
          <xdr:rowOff>257175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23</xdr:row>
          <xdr:rowOff>38100</xdr:rowOff>
        </xdr:from>
        <xdr:to>
          <xdr:col>8</xdr:col>
          <xdr:colOff>962025</xdr:colOff>
          <xdr:row>23</xdr:row>
          <xdr:rowOff>257175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26</xdr:row>
          <xdr:rowOff>38100</xdr:rowOff>
        </xdr:from>
        <xdr:to>
          <xdr:col>8</xdr:col>
          <xdr:colOff>342900</xdr:colOff>
          <xdr:row>26</xdr:row>
          <xdr:rowOff>257175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26</xdr:row>
          <xdr:rowOff>38100</xdr:rowOff>
        </xdr:from>
        <xdr:to>
          <xdr:col>8</xdr:col>
          <xdr:colOff>962025</xdr:colOff>
          <xdr:row>26</xdr:row>
          <xdr:rowOff>257175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27</xdr:row>
          <xdr:rowOff>38100</xdr:rowOff>
        </xdr:from>
        <xdr:to>
          <xdr:col>8</xdr:col>
          <xdr:colOff>342900</xdr:colOff>
          <xdr:row>28</xdr:row>
          <xdr:rowOff>0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27</xdr:row>
          <xdr:rowOff>38100</xdr:rowOff>
        </xdr:from>
        <xdr:to>
          <xdr:col>8</xdr:col>
          <xdr:colOff>962025</xdr:colOff>
          <xdr:row>28</xdr:row>
          <xdr:rowOff>0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15</xdr:row>
          <xdr:rowOff>38100</xdr:rowOff>
        </xdr:from>
        <xdr:to>
          <xdr:col>8</xdr:col>
          <xdr:colOff>342900</xdr:colOff>
          <xdr:row>15</xdr:row>
          <xdr:rowOff>257175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15</xdr:row>
          <xdr:rowOff>38100</xdr:rowOff>
        </xdr:from>
        <xdr:to>
          <xdr:col>8</xdr:col>
          <xdr:colOff>962025</xdr:colOff>
          <xdr:row>15</xdr:row>
          <xdr:rowOff>257175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16</xdr:row>
          <xdr:rowOff>38100</xdr:rowOff>
        </xdr:from>
        <xdr:to>
          <xdr:col>8</xdr:col>
          <xdr:colOff>342900</xdr:colOff>
          <xdr:row>16</xdr:row>
          <xdr:rowOff>257175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16</xdr:row>
          <xdr:rowOff>38100</xdr:rowOff>
        </xdr:from>
        <xdr:to>
          <xdr:col>8</xdr:col>
          <xdr:colOff>962025</xdr:colOff>
          <xdr:row>16</xdr:row>
          <xdr:rowOff>257175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17</xdr:row>
          <xdr:rowOff>38100</xdr:rowOff>
        </xdr:from>
        <xdr:to>
          <xdr:col>8</xdr:col>
          <xdr:colOff>342900</xdr:colOff>
          <xdr:row>17</xdr:row>
          <xdr:rowOff>257175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17</xdr:row>
          <xdr:rowOff>38100</xdr:rowOff>
        </xdr:from>
        <xdr:to>
          <xdr:col>8</xdr:col>
          <xdr:colOff>962025</xdr:colOff>
          <xdr:row>17</xdr:row>
          <xdr:rowOff>257175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22</xdr:row>
          <xdr:rowOff>38100</xdr:rowOff>
        </xdr:from>
        <xdr:to>
          <xdr:col>8</xdr:col>
          <xdr:colOff>342900</xdr:colOff>
          <xdr:row>22</xdr:row>
          <xdr:rowOff>257175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22</xdr:row>
          <xdr:rowOff>38100</xdr:rowOff>
        </xdr:from>
        <xdr:to>
          <xdr:col>8</xdr:col>
          <xdr:colOff>962025</xdr:colOff>
          <xdr:row>22</xdr:row>
          <xdr:rowOff>257175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23</xdr:row>
          <xdr:rowOff>38100</xdr:rowOff>
        </xdr:from>
        <xdr:to>
          <xdr:col>8</xdr:col>
          <xdr:colOff>342900</xdr:colOff>
          <xdr:row>23</xdr:row>
          <xdr:rowOff>257175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23</xdr:row>
          <xdr:rowOff>38100</xdr:rowOff>
        </xdr:from>
        <xdr:to>
          <xdr:col>8</xdr:col>
          <xdr:colOff>962025</xdr:colOff>
          <xdr:row>23</xdr:row>
          <xdr:rowOff>257175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24</xdr:row>
          <xdr:rowOff>38100</xdr:rowOff>
        </xdr:from>
        <xdr:to>
          <xdr:col>8</xdr:col>
          <xdr:colOff>342900</xdr:colOff>
          <xdr:row>24</xdr:row>
          <xdr:rowOff>257175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24</xdr:row>
          <xdr:rowOff>38100</xdr:rowOff>
        </xdr:from>
        <xdr:to>
          <xdr:col>8</xdr:col>
          <xdr:colOff>962025</xdr:colOff>
          <xdr:row>24</xdr:row>
          <xdr:rowOff>257175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26</xdr:row>
          <xdr:rowOff>38100</xdr:rowOff>
        </xdr:from>
        <xdr:to>
          <xdr:col>8</xdr:col>
          <xdr:colOff>342900</xdr:colOff>
          <xdr:row>26</xdr:row>
          <xdr:rowOff>257175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26</xdr:row>
          <xdr:rowOff>38100</xdr:rowOff>
        </xdr:from>
        <xdr:to>
          <xdr:col>8</xdr:col>
          <xdr:colOff>962025</xdr:colOff>
          <xdr:row>26</xdr:row>
          <xdr:rowOff>257175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18</xdr:row>
          <xdr:rowOff>38100</xdr:rowOff>
        </xdr:from>
        <xdr:to>
          <xdr:col>8</xdr:col>
          <xdr:colOff>342900</xdr:colOff>
          <xdr:row>18</xdr:row>
          <xdr:rowOff>257175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18</xdr:row>
          <xdr:rowOff>38100</xdr:rowOff>
        </xdr:from>
        <xdr:to>
          <xdr:col>8</xdr:col>
          <xdr:colOff>962025</xdr:colOff>
          <xdr:row>18</xdr:row>
          <xdr:rowOff>257175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25</xdr:row>
          <xdr:rowOff>38100</xdr:rowOff>
        </xdr:from>
        <xdr:to>
          <xdr:col>8</xdr:col>
          <xdr:colOff>342900</xdr:colOff>
          <xdr:row>25</xdr:row>
          <xdr:rowOff>257175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25</xdr:row>
          <xdr:rowOff>38100</xdr:rowOff>
        </xdr:from>
        <xdr:to>
          <xdr:col>8</xdr:col>
          <xdr:colOff>962025</xdr:colOff>
          <xdr:row>25</xdr:row>
          <xdr:rowOff>257175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28</xdr:row>
          <xdr:rowOff>38100</xdr:rowOff>
        </xdr:from>
        <xdr:to>
          <xdr:col>8</xdr:col>
          <xdr:colOff>342900</xdr:colOff>
          <xdr:row>29</xdr:row>
          <xdr:rowOff>0</xdr:rowOff>
        </xdr:to>
        <xdr:sp macro="" textlink=""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28</xdr:row>
          <xdr:rowOff>38100</xdr:rowOff>
        </xdr:from>
        <xdr:to>
          <xdr:col>8</xdr:col>
          <xdr:colOff>962025</xdr:colOff>
          <xdr:row>29</xdr:row>
          <xdr:rowOff>0</xdr:rowOff>
        </xdr:to>
        <xdr:sp macro="" textlink=""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15</xdr:row>
          <xdr:rowOff>38100</xdr:rowOff>
        </xdr:from>
        <xdr:to>
          <xdr:col>8</xdr:col>
          <xdr:colOff>342900</xdr:colOff>
          <xdr:row>15</xdr:row>
          <xdr:rowOff>257175</xdr:rowOff>
        </xdr:to>
        <xdr:sp macro="" textlink="">
          <xdr:nvSpPr>
            <xdr:cNvPr id="10261" name="Check Box 21" hidden="1">
              <a:extLst>
                <a:ext uri="{63B3BB69-23CF-44E3-9099-C40C66FF867C}">
                  <a14:compatExt spid="_x0000_s10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15</xdr:row>
          <xdr:rowOff>38100</xdr:rowOff>
        </xdr:from>
        <xdr:to>
          <xdr:col>8</xdr:col>
          <xdr:colOff>962025</xdr:colOff>
          <xdr:row>15</xdr:row>
          <xdr:rowOff>257175</xdr:rowOff>
        </xdr:to>
        <xdr:sp macro="" textlink=""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16</xdr:row>
          <xdr:rowOff>38100</xdr:rowOff>
        </xdr:from>
        <xdr:to>
          <xdr:col>8</xdr:col>
          <xdr:colOff>342900</xdr:colOff>
          <xdr:row>16</xdr:row>
          <xdr:rowOff>257175</xdr:rowOff>
        </xdr:to>
        <xdr:sp macro="" textlink="">
          <xdr:nvSpPr>
            <xdr:cNvPr id="10263" name="Check Box 23" hidden="1">
              <a:extLst>
                <a:ext uri="{63B3BB69-23CF-44E3-9099-C40C66FF867C}">
                  <a14:compatExt spid="_x0000_s10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16</xdr:row>
          <xdr:rowOff>38100</xdr:rowOff>
        </xdr:from>
        <xdr:to>
          <xdr:col>8</xdr:col>
          <xdr:colOff>962025</xdr:colOff>
          <xdr:row>16</xdr:row>
          <xdr:rowOff>257175</xdr:rowOff>
        </xdr:to>
        <xdr:sp macro="" textlink="">
          <xdr:nvSpPr>
            <xdr:cNvPr id="10264" name="Check Box 24" hidden="1">
              <a:extLst>
                <a:ext uri="{63B3BB69-23CF-44E3-9099-C40C66FF867C}">
                  <a14:compatExt spid="_x0000_s10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17</xdr:row>
          <xdr:rowOff>38100</xdr:rowOff>
        </xdr:from>
        <xdr:to>
          <xdr:col>8</xdr:col>
          <xdr:colOff>342900</xdr:colOff>
          <xdr:row>17</xdr:row>
          <xdr:rowOff>257175</xdr:rowOff>
        </xdr:to>
        <xdr:sp macro="" textlink="">
          <xdr:nvSpPr>
            <xdr:cNvPr id="10265" name="Check Box 25" hidden="1">
              <a:extLst>
                <a:ext uri="{63B3BB69-23CF-44E3-9099-C40C66FF867C}">
                  <a14:compatExt spid="_x0000_s10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17</xdr:row>
          <xdr:rowOff>38100</xdr:rowOff>
        </xdr:from>
        <xdr:to>
          <xdr:col>8</xdr:col>
          <xdr:colOff>962025</xdr:colOff>
          <xdr:row>17</xdr:row>
          <xdr:rowOff>257175</xdr:rowOff>
        </xdr:to>
        <xdr:sp macro="" textlink="">
          <xdr:nvSpPr>
            <xdr:cNvPr id="10266" name="Check Box 26" hidden="1">
              <a:extLst>
                <a:ext uri="{63B3BB69-23CF-44E3-9099-C40C66FF867C}">
                  <a14:compatExt spid="_x0000_s10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22</xdr:row>
          <xdr:rowOff>38100</xdr:rowOff>
        </xdr:from>
        <xdr:to>
          <xdr:col>8</xdr:col>
          <xdr:colOff>342900</xdr:colOff>
          <xdr:row>22</xdr:row>
          <xdr:rowOff>257175</xdr:rowOff>
        </xdr:to>
        <xdr:sp macro="" textlink="">
          <xdr:nvSpPr>
            <xdr:cNvPr id="10267" name="Check Box 27" hidden="1">
              <a:extLst>
                <a:ext uri="{63B3BB69-23CF-44E3-9099-C40C66FF867C}">
                  <a14:compatExt spid="_x0000_s10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22</xdr:row>
          <xdr:rowOff>38100</xdr:rowOff>
        </xdr:from>
        <xdr:to>
          <xdr:col>8</xdr:col>
          <xdr:colOff>962025</xdr:colOff>
          <xdr:row>22</xdr:row>
          <xdr:rowOff>257175</xdr:rowOff>
        </xdr:to>
        <xdr:sp macro="" textlink="">
          <xdr:nvSpPr>
            <xdr:cNvPr id="10268" name="Check Box 28" hidden="1">
              <a:extLst>
                <a:ext uri="{63B3BB69-23CF-44E3-9099-C40C66FF867C}">
                  <a14:compatExt spid="_x0000_s10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23</xdr:row>
          <xdr:rowOff>38100</xdr:rowOff>
        </xdr:from>
        <xdr:to>
          <xdr:col>8</xdr:col>
          <xdr:colOff>342900</xdr:colOff>
          <xdr:row>23</xdr:row>
          <xdr:rowOff>257175</xdr:rowOff>
        </xdr:to>
        <xdr:sp macro="" textlink=""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23</xdr:row>
          <xdr:rowOff>38100</xdr:rowOff>
        </xdr:from>
        <xdr:to>
          <xdr:col>8</xdr:col>
          <xdr:colOff>962025</xdr:colOff>
          <xdr:row>23</xdr:row>
          <xdr:rowOff>257175</xdr:rowOff>
        </xdr:to>
        <xdr:sp macro="" textlink="">
          <xdr:nvSpPr>
            <xdr:cNvPr id="10270" name="Check Box 30" hidden="1">
              <a:extLst>
                <a:ext uri="{63B3BB69-23CF-44E3-9099-C40C66FF867C}">
                  <a14:compatExt spid="_x0000_s10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24</xdr:row>
          <xdr:rowOff>38100</xdr:rowOff>
        </xdr:from>
        <xdr:to>
          <xdr:col>8</xdr:col>
          <xdr:colOff>342900</xdr:colOff>
          <xdr:row>24</xdr:row>
          <xdr:rowOff>257175</xdr:rowOff>
        </xdr:to>
        <xdr:sp macro="" textlink=""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24</xdr:row>
          <xdr:rowOff>38100</xdr:rowOff>
        </xdr:from>
        <xdr:to>
          <xdr:col>8</xdr:col>
          <xdr:colOff>962025</xdr:colOff>
          <xdr:row>24</xdr:row>
          <xdr:rowOff>257175</xdr:rowOff>
        </xdr:to>
        <xdr:sp macro="" textlink="">
          <xdr:nvSpPr>
            <xdr:cNvPr id="10272" name="Check Box 32" hidden="1">
              <a:extLst>
                <a:ext uri="{63B3BB69-23CF-44E3-9099-C40C66FF867C}">
                  <a14:compatExt spid="_x0000_s10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26</xdr:row>
          <xdr:rowOff>38100</xdr:rowOff>
        </xdr:from>
        <xdr:to>
          <xdr:col>8</xdr:col>
          <xdr:colOff>342900</xdr:colOff>
          <xdr:row>26</xdr:row>
          <xdr:rowOff>257175</xdr:rowOff>
        </xdr:to>
        <xdr:sp macro="" textlink="">
          <xdr:nvSpPr>
            <xdr:cNvPr id="10273" name="Check Box 33" hidden="1">
              <a:extLst>
                <a:ext uri="{63B3BB69-23CF-44E3-9099-C40C66FF867C}">
                  <a14:compatExt spid="_x0000_s10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26</xdr:row>
          <xdr:rowOff>38100</xdr:rowOff>
        </xdr:from>
        <xdr:to>
          <xdr:col>8</xdr:col>
          <xdr:colOff>962025</xdr:colOff>
          <xdr:row>26</xdr:row>
          <xdr:rowOff>257175</xdr:rowOff>
        </xdr:to>
        <xdr:sp macro="" textlink=""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18</xdr:row>
          <xdr:rowOff>38100</xdr:rowOff>
        </xdr:from>
        <xdr:to>
          <xdr:col>8</xdr:col>
          <xdr:colOff>342900</xdr:colOff>
          <xdr:row>18</xdr:row>
          <xdr:rowOff>257175</xdr:rowOff>
        </xdr:to>
        <xdr:sp macro="" textlink="">
          <xdr:nvSpPr>
            <xdr:cNvPr id="10275" name="Check Box 35" hidden="1">
              <a:extLst>
                <a:ext uri="{63B3BB69-23CF-44E3-9099-C40C66FF867C}">
                  <a14:compatExt spid="_x0000_s10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18</xdr:row>
          <xdr:rowOff>38100</xdr:rowOff>
        </xdr:from>
        <xdr:to>
          <xdr:col>8</xdr:col>
          <xdr:colOff>962025</xdr:colOff>
          <xdr:row>18</xdr:row>
          <xdr:rowOff>257175</xdr:rowOff>
        </xdr:to>
        <xdr:sp macro="" textlink="">
          <xdr:nvSpPr>
            <xdr:cNvPr id="10276" name="Check Box 36" hidden="1">
              <a:extLst>
                <a:ext uri="{63B3BB69-23CF-44E3-9099-C40C66FF867C}">
                  <a14:compatExt spid="_x0000_s10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25</xdr:row>
          <xdr:rowOff>38100</xdr:rowOff>
        </xdr:from>
        <xdr:to>
          <xdr:col>8</xdr:col>
          <xdr:colOff>342900</xdr:colOff>
          <xdr:row>25</xdr:row>
          <xdr:rowOff>257175</xdr:rowOff>
        </xdr:to>
        <xdr:sp macro="" textlink=""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25</xdr:row>
          <xdr:rowOff>38100</xdr:rowOff>
        </xdr:from>
        <xdr:to>
          <xdr:col>8</xdr:col>
          <xdr:colOff>962025</xdr:colOff>
          <xdr:row>25</xdr:row>
          <xdr:rowOff>257175</xdr:rowOff>
        </xdr:to>
        <xdr:sp macro="" textlink="">
          <xdr:nvSpPr>
            <xdr:cNvPr id="10278" name="Check Box 38" hidden="1">
              <a:extLst>
                <a:ext uri="{63B3BB69-23CF-44E3-9099-C40C66FF867C}">
                  <a14:compatExt spid="_x0000_s10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28</xdr:row>
          <xdr:rowOff>38100</xdr:rowOff>
        </xdr:from>
        <xdr:to>
          <xdr:col>8</xdr:col>
          <xdr:colOff>342900</xdr:colOff>
          <xdr:row>29</xdr:row>
          <xdr:rowOff>0</xdr:rowOff>
        </xdr:to>
        <xdr:sp macro="" textlink=""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28</xdr:row>
          <xdr:rowOff>38100</xdr:rowOff>
        </xdr:from>
        <xdr:to>
          <xdr:col>8</xdr:col>
          <xdr:colOff>962025</xdr:colOff>
          <xdr:row>29</xdr:row>
          <xdr:rowOff>0</xdr:rowOff>
        </xdr:to>
        <xdr:sp macro="" textlink=""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cc-3\home\PHYSICS\2018%20QA%20Results\HDR_2018\Batch%2340%2008%20Jun%202018\Batch%2340%20HDR%20Quarterly%20QA%200806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R Quarterly QA"/>
      <sheetName val="Source Receipt Survey"/>
      <sheetName val="Exit Dose Calibration"/>
      <sheetName val="New Source Calibration"/>
      <sheetName val="New Source Survey"/>
      <sheetName val="Decay Chart"/>
      <sheetName val="Daily Safety &amp; QA"/>
      <sheetName val="Power Failure Recovery"/>
      <sheetName val="Applicators &amp; Transfer Tubes"/>
      <sheetName val="Source Return Survey"/>
    </sheetNames>
    <sheetDataSet>
      <sheetData sheetId="0"/>
      <sheetData sheetId="1"/>
      <sheetData sheetId="2"/>
      <sheetData sheetId="3">
        <row r="3">
          <cell r="B3">
            <v>40</v>
          </cell>
        </row>
        <row r="4">
          <cell r="B4">
            <v>43259.583333333336</v>
          </cell>
          <cell r="E4" t="str">
            <v>NLF 01 D85E2661</v>
          </cell>
        </row>
        <row r="34">
          <cell r="B34">
            <v>426.3</v>
          </cell>
        </row>
        <row r="35">
          <cell r="B35">
            <v>43244</v>
          </cell>
        </row>
        <row r="36">
          <cell r="B36">
            <v>43243.791666666664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8.xml"/><Relationship Id="rId18" Type="http://schemas.openxmlformats.org/officeDocument/2006/relationships/ctrlProp" Target="../ctrlProps/ctrlProp53.xml"/><Relationship Id="rId26" Type="http://schemas.openxmlformats.org/officeDocument/2006/relationships/ctrlProp" Target="../ctrlProps/ctrlProp61.xml"/><Relationship Id="rId39" Type="http://schemas.openxmlformats.org/officeDocument/2006/relationships/ctrlProp" Target="../ctrlProps/ctrlProp74.xml"/><Relationship Id="rId21" Type="http://schemas.openxmlformats.org/officeDocument/2006/relationships/ctrlProp" Target="../ctrlProps/ctrlProp56.xml"/><Relationship Id="rId34" Type="http://schemas.openxmlformats.org/officeDocument/2006/relationships/ctrlProp" Target="../ctrlProps/ctrlProp69.xml"/><Relationship Id="rId7" Type="http://schemas.openxmlformats.org/officeDocument/2006/relationships/ctrlProp" Target="../ctrlProps/ctrlProp42.xml"/><Relationship Id="rId12" Type="http://schemas.openxmlformats.org/officeDocument/2006/relationships/ctrlProp" Target="../ctrlProps/ctrlProp47.xml"/><Relationship Id="rId17" Type="http://schemas.openxmlformats.org/officeDocument/2006/relationships/ctrlProp" Target="../ctrlProps/ctrlProp52.xml"/><Relationship Id="rId25" Type="http://schemas.openxmlformats.org/officeDocument/2006/relationships/ctrlProp" Target="../ctrlProps/ctrlProp60.xml"/><Relationship Id="rId33" Type="http://schemas.openxmlformats.org/officeDocument/2006/relationships/ctrlProp" Target="../ctrlProps/ctrlProp68.xml"/><Relationship Id="rId38" Type="http://schemas.openxmlformats.org/officeDocument/2006/relationships/ctrlProp" Target="../ctrlProps/ctrlProp73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1.xml"/><Relationship Id="rId20" Type="http://schemas.openxmlformats.org/officeDocument/2006/relationships/ctrlProp" Target="../ctrlProps/ctrlProp55.xml"/><Relationship Id="rId29" Type="http://schemas.openxmlformats.org/officeDocument/2006/relationships/ctrlProp" Target="../ctrlProps/ctrlProp64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41.xml"/><Relationship Id="rId11" Type="http://schemas.openxmlformats.org/officeDocument/2006/relationships/ctrlProp" Target="../ctrlProps/ctrlProp46.xml"/><Relationship Id="rId24" Type="http://schemas.openxmlformats.org/officeDocument/2006/relationships/ctrlProp" Target="../ctrlProps/ctrlProp59.xml"/><Relationship Id="rId32" Type="http://schemas.openxmlformats.org/officeDocument/2006/relationships/ctrlProp" Target="../ctrlProps/ctrlProp67.xml"/><Relationship Id="rId37" Type="http://schemas.openxmlformats.org/officeDocument/2006/relationships/ctrlProp" Target="../ctrlProps/ctrlProp72.xml"/><Relationship Id="rId5" Type="http://schemas.openxmlformats.org/officeDocument/2006/relationships/ctrlProp" Target="../ctrlProps/ctrlProp40.xml"/><Relationship Id="rId15" Type="http://schemas.openxmlformats.org/officeDocument/2006/relationships/ctrlProp" Target="../ctrlProps/ctrlProp50.xml"/><Relationship Id="rId23" Type="http://schemas.openxmlformats.org/officeDocument/2006/relationships/ctrlProp" Target="../ctrlProps/ctrlProp58.xml"/><Relationship Id="rId28" Type="http://schemas.openxmlformats.org/officeDocument/2006/relationships/ctrlProp" Target="../ctrlProps/ctrlProp63.xml"/><Relationship Id="rId36" Type="http://schemas.openxmlformats.org/officeDocument/2006/relationships/ctrlProp" Target="../ctrlProps/ctrlProp71.xml"/><Relationship Id="rId10" Type="http://schemas.openxmlformats.org/officeDocument/2006/relationships/ctrlProp" Target="../ctrlProps/ctrlProp45.xml"/><Relationship Id="rId19" Type="http://schemas.openxmlformats.org/officeDocument/2006/relationships/ctrlProp" Target="../ctrlProps/ctrlProp54.xml"/><Relationship Id="rId31" Type="http://schemas.openxmlformats.org/officeDocument/2006/relationships/ctrlProp" Target="../ctrlProps/ctrlProp66.xml"/><Relationship Id="rId4" Type="http://schemas.openxmlformats.org/officeDocument/2006/relationships/ctrlProp" Target="../ctrlProps/ctrlProp39.xml"/><Relationship Id="rId9" Type="http://schemas.openxmlformats.org/officeDocument/2006/relationships/ctrlProp" Target="../ctrlProps/ctrlProp44.xml"/><Relationship Id="rId14" Type="http://schemas.openxmlformats.org/officeDocument/2006/relationships/ctrlProp" Target="../ctrlProps/ctrlProp49.xml"/><Relationship Id="rId22" Type="http://schemas.openxmlformats.org/officeDocument/2006/relationships/ctrlProp" Target="../ctrlProps/ctrlProp57.xml"/><Relationship Id="rId27" Type="http://schemas.openxmlformats.org/officeDocument/2006/relationships/ctrlProp" Target="../ctrlProps/ctrlProp62.xml"/><Relationship Id="rId30" Type="http://schemas.openxmlformats.org/officeDocument/2006/relationships/ctrlProp" Target="../ctrlProps/ctrlProp65.xml"/><Relationship Id="rId35" Type="http://schemas.openxmlformats.org/officeDocument/2006/relationships/ctrlProp" Target="../ctrlProps/ctrlProp70.xml"/><Relationship Id="rId8" Type="http://schemas.openxmlformats.org/officeDocument/2006/relationships/ctrlProp" Target="../ctrlProps/ctrlProp43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4.xml"/><Relationship Id="rId18" Type="http://schemas.openxmlformats.org/officeDocument/2006/relationships/ctrlProp" Target="../ctrlProps/ctrlProp89.xml"/><Relationship Id="rId26" Type="http://schemas.openxmlformats.org/officeDocument/2006/relationships/ctrlProp" Target="../ctrlProps/ctrlProp97.xml"/><Relationship Id="rId39" Type="http://schemas.openxmlformats.org/officeDocument/2006/relationships/ctrlProp" Target="../ctrlProps/ctrlProp110.xml"/><Relationship Id="rId21" Type="http://schemas.openxmlformats.org/officeDocument/2006/relationships/ctrlProp" Target="../ctrlProps/ctrlProp92.xml"/><Relationship Id="rId34" Type="http://schemas.openxmlformats.org/officeDocument/2006/relationships/ctrlProp" Target="../ctrlProps/ctrlProp105.xml"/><Relationship Id="rId42" Type="http://schemas.openxmlformats.org/officeDocument/2006/relationships/ctrlProp" Target="../ctrlProps/ctrlProp113.xml"/><Relationship Id="rId7" Type="http://schemas.openxmlformats.org/officeDocument/2006/relationships/ctrlProp" Target="../ctrlProps/ctrlProp78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87.xml"/><Relationship Id="rId20" Type="http://schemas.openxmlformats.org/officeDocument/2006/relationships/ctrlProp" Target="../ctrlProps/ctrlProp91.xml"/><Relationship Id="rId29" Type="http://schemas.openxmlformats.org/officeDocument/2006/relationships/ctrlProp" Target="../ctrlProps/ctrlProp100.xml"/><Relationship Id="rId41" Type="http://schemas.openxmlformats.org/officeDocument/2006/relationships/ctrlProp" Target="../ctrlProps/ctrlProp112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77.xml"/><Relationship Id="rId11" Type="http://schemas.openxmlformats.org/officeDocument/2006/relationships/ctrlProp" Target="../ctrlProps/ctrlProp82.xml"/><Relationship Id="rId24" Type="http://schemas.openxmlformats.org/officeDocument/2006/relationships/ctrlProp" Target="../ctrlProps/ctrlProp95.xml"/><Relationship Id="rId32" Type="http://schemas.openxmlformats.org/officeDocument/2006/relationships/ctrlProp" Target="../ctrlProps/ctrlProp103.xml"/><Relationship Id="rId37" Type="http://schemas.openxmlformats.org/officeDocument/2006/relationships/ctrlProp" Target="../ctrlProps/ctrlProp108.xml"/><Relationship Id="rId40" Type="http://schemas.openxmlformats.org/officeDocument/2006/relationships/ctrlProp" Target="../ctrlProps/ctrlProp111.xml"/><Relationship Id="rId5" Type="http://schemas.openxmlformats.org/officeDocument/2006/relationships/ctrlProp" Target="../ctrlProps/ctrlProp76.xml"/><Relationship Id="rId15" Type="http://schemas.openxmlformats.org/officeDocument/2006/relationships/ctrlProp" Target="../ctrlProps/ctrlProp86.xml"/><Relationship Id="rId23" Type="http://schemas.openxmlformats.org/officeDocument/2006/relationships/ctrlProp" Target="../ctrlProps/ctrlProp94.xml"/><Relationship Id="rId28" Type="http://schemas.openxmlformats.org/officeDocument/2006/relationships/ctrlProp" Target="../ctrlProps/ctrlProp99.xml"/><Relationship Id="rId36" Type="http://schemas.openxmlformats.org/officeDocument/2006/relationships/ctrlProp" Target="../ctrlProps/ctrlProp107.xml"/><Relationship Id="rId10" Type="http://schemas.openxmlformats.org/officeDocument/2006/relationships/ctrlProp" Target="../ctrlProps/ctrlProp81.xml"/><Relationship Id="rId19" Type="http://schemas.openxmlformats.org/officeDocument/2006/relationships/ctrlProp" Target="../ctrlProps/ctrlProp90.xml"/><Relationship Id="rId31" Type="http://schemas.openxmlformats.org/officeDocument/2006/relationships/ctrlProp" Target="../ctrlProps/ctrlProp102.xml"/><Relationship Id="rId4" Type="http://schemas.openxmlformats.org/officeDocument/2006/relationships/ctrlProp" Target="../ctrlProps/ctrlProp75.xml"/><Relationship Id="rId9" Type="http://schemas.openxmlformats.org/officeDocument/2006/relationships/ctrlProp" Target="../ctrlProps/ctrlProp80.xml"/><Relationship Id="rId14" Type="http://schemas.openxmlformats.org/officeDocument/2006/relationships/ctrlProp" Target="../ctrlProps/ctrlProp85.xml"/><Relationship Id="rId22" Type="http://schemas.openxmlformats.org/officeDocument/2006/relationships/ctrlProp" Target="../ctrlProps/ctrlProp93.xml"/><Relationship Id="rId27" Type="http://schemas.openxmlformats.org/officeDocument/2006/relationships/ctrlProp" Target="../ctrlProps/ctrlProp98.xml"/><Relationship Id="rId30" Type="http://schemas.openxmlformats.org/officeDocument/2006/relationships/ctrlProp" Target="../ctrlProps/ctrlProp101.xml"/><Relationship Id="rId35" Type="http://schemas.openxmlformats.org/officeDocument/2006/relationships/ctrlProp" Target="../ctrlProps/ctrlProp106.xml"/><Relationship Id="rId43" Type="http://schemas.openxmlformats.org/officeDocument/2006/relationships/ctrlProp" Target="../ctrlProps/ctrlProp114.xml"/><Relationship Id="rId8" Type="http://schemas.openxmlformats.org/officeDocument/2006/relationships/ctrlProp" Target="../ctrlProps/ctrlProp79.xml"/><Relationship Id="rId3" Type="http://schemas.openxmlformats.org/officeDocument/2006/relationships/vmlDrawing" Target="../drawings/vmlDrawing6.vml"/><Relationship Id="rId12" Type="http://schemas.openxmlformats.org/officeDocument/2006/relationships/ctrlProp" Target="../ctrlProps/ctrlProp83.xml"/><Relationship Id="rId17" Type="http://schemas.openxmlformats.org/officeDocument/2006/relationships/ctrlProp" Target="../ctrlProps/ctrlProp88.xml"/><Relationship Id="rId25" Type="http://schemas.openxmlformats.org/officeDocument/2006/relationships/ctrlProp" Target="../ctrlProps/ctrlProp96.xml"/><Relationship Id="rId33" Type="http://schemas.openxmlformats.org/officeDocument/2006/relationships/ctrlProp" Target="../ctrlProps/ctrlProp104.xml"/><Relationship Id="rId38" Type="http://schemas.openxmlformats.org/officeDocument/2006/relationships/ctrlProp" Target="../ctrlProps/ctrlProp10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9"/>
  <sheetViews>
    <sheetView workbookViewId="0">
      <selection sqref="A1:XFD1048576"/>
    </sheetView>
  </sheetViews>
  <sheetFormatPr defaultRowHeight="12.75" x14ac:dyDescent="0.2"/>
  <cols>
    <col min="1" max="1" width="4.85546875" customWidth="1"/>
    <col min="2" max="2" width="42.7109375" customWidth="1"/>
    <col min="3" max="4" width="18.85546875" customWidth="1"/>
    <col min="14" max="14" width="17" customWidth="1"/>
    <col min="15" max="17" width="41.28515625" customWidth="1"/>
  </cols>
  <sheetData>
    <row r="1" spans="1:22" ht="18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8" x14ac:dyDescent="0.25">
      <c r="A2" s="3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5" thickBot="1" x14ac:dyDescent="0.25"/>
    <row r="4" spans="1:22" ht="21" customHeight="1" thickTop="1" thickBot="1" x14ac:dyDescent="0.25">
      <c r="A4" s="252"/>
      <c r="B4" s="253"/>
      <c r="C4" s="223" t="s">
        <v>158</v>
      </c>
      <c r="D4" s="224" t="s">
        <v>159</v>
      </c>
    </row>
    <row r="5" spans="1:22" ht="21" customHeight="1" thickTop="1" x14ac:dyDescent="0.2">
      <c r="A5" s="254">
        <v>1</v>
      </c>
      <c r="B5" s="255" t="s">
        <v>36</v>
      </c>
      <c r="C5" s="261"/>
      <c r="D5" s="262"/>
    </row>
    <row r="6" spans="1:22" ht="21" customHeight="1" x14ac:dyDescent="0.2">
      <c r="A6" s="256">
        <v>2</v>
      </c>
      <c r="B6" s="257" t="s">
        <v>38</v>
      </c>
      <c r="C6" s="261"/>
      <c r="D6" s="138"/>
    </row>
    <row r="7" spans="1:22" ht="21" customHeight="1" x14ac:dyDescent="0.2">
      <c r="A7" s="256">
        <v>3</v>
      </c>
      <c r="B7" s="257" t="s">
        <v>135</v>
      </c>
      <c r="C7" s="261"/>
      <c r="D7" s="138"/>
    </row>
    <row r="8" spans="1:22" ht="21" customHeight="1" x14ac:dyDescent="0.2">
      <c r="A8" s="256">
        <v>4</v>
      </c>
      <c r="B8" s="257" t="s">
        <v>37</v>
      </c>
      <c r="C8" s="261"/>
      <c r="D8" s="138"/>
    </row>
    <row r="9" spans="1:22" ht="21" customHeight="1" x14ac:dyDescent="0.2">
      <c r="A9" s="256"/>
      <c r="B9" s="258" t="s">
        <v>134</v>
      </c>
      <c r="C9" s="261"/>
      <c r="D9" s="138"/>
    </row>
    <row r="10" spans="1:22" ht="21" customHeight="1" x14ac:dyDescent="0.2">
      <c r="A10" s="256">
        <v>5</v>
      </c>
      <c r="B10" s="257" t="s">
        <v>2</v>
      </c>
      <c r="C10" s="261"/>
      <c r="D10" s="138"/>
    </row>
    <row r="11" spans="1:22" ht="21" customHeight="1" x14ac:dyDescent="0.2">
      <c r="A11" s="256"/>
      <c r="B11" s="258" t="s">
        <v>136</v>
      </c>
      <c r="C11" s="261"/>
      <c r="D11" s="138"/>
    </row>
    <row r="12" spans="1:22" ht="21" customHeight="1" x14ac:dyDescent="0.2">
      <c r="A12" s="256">
        <v>6</v>
      </c>
      <c r="B12" s="257" t="s">
        <v>3</v>
      </c>
      <c r="C12" s="261"/>
      <c r="D12" s="138"/>
    </row>
    <row r="13" spans="1:22" ht="21" customHeight="1" x14ac:dyDescent="0.2">
      <c r="A13" s="256">
        <v>7</v>
      </c>
      <c r="B13" s="257" t="s">
        <v>145</v>
      </c>
      <c r="C13" s="261"/>
      <c r="D13" s="138"/>
    </row>
    <row r="14" spans="1:22" ht="21" customHeight="1" x14ac:dyDescent="0.2">
      <c r="A14" s="256">
        <v>8</v>
      </c>
      <c r="B14" s="257" t="s">
        <v>4</v>
      </c>
      <c r="C14" s="261"/>
      <c r="D14" s="138"/>
    </row>
    <row r="15" spans="1:22" ht="21" customHeight="1" x14ac:dyDescent="0.2">
      <c r="A15" s="256">
        <v>9</v>
      </c>
      <c r="B15" s="257" t="s">
        <v>156</v>
      </c>
      <c r="C15" s="261"/>
      <c r="D15" s="138"/>
    </row>
    <row r="16" spans="1:22" ht="21" customHeight="1" x14ac:dyDescent="0.2">
      <c r="A16" s="256">
        <v>10</v>
      </c>
      <c r="B16" s="257" t="s">
        <v>39</v>
      </c>
      <c r="C16" s="295"/>
      <c r="D16" s="263"/>
    </row>
    <row r="17" spans="1:4" ht="21" customHeight="1" x14ac:dyDescent="0.2">
      <c r="A17" s="256"/>
      <c r="B17" s="258" t="s">
        <v>132</v>
      </c>
      <c r="C17" s="261"/>
      <c r="D17" s="138"/>
    </row>
    <row r="18" spans="1:4" ht="21" customHeight="1" thickBot="1" x14ac:dyDescent="0.25">
      <c r="A18" s="259"/>
      <c r="B18" s="260" t="s">
        <v>133</v>
      </c>
      <c r="C18" s="264"/>
      <c r="D18" s="265"/>
    </row>
    <row r="19" spans="1:4" ht="13.5" thickTop="1" x14ac:dyDescent="0.2"/>
  </sheetData>
  <phoneticPr fontId="79" type="noConversion"/>
  <pageMargins left="0.7" right="0.7" top="0.75" bottom="0.75" header="0.3" footer="0.3"/>
  <pageSetup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6"/>
  <sheetViews>
    <sheetView workbookViewId="0">
      <selection sqref="A1:XFD1048576"/>
    </sheetView>
  </sheetViews>
  <sheetFormatPr defaultRowHeight="16.5" x14ac:dyDescent="0.25"/>
  <cols>
    <col min="1" max="1" width="14.85546875" style="287" customWidth="1"/>
    <col min="2" max="2" width="6" style="287" customWidth="1"/>
    <col min="3" max="3" width="8.85546875" style="287" customWidth="1"/>
    <col min="4" max="4" width="14.7109375" style="287" customWidth="1"/>
    <col min="5" max="5" width="7.7109375" style="287" customWidth="1"/>
    <col min="6" max="6" width="14.7109375" style="287" customWidth="1"/>
    <col min="7" max="7" width="2.7109375" style="287" customWidth="1"/>
    <col min="8" max="8" width="14.7109375" style="287" customWidth="1"/>
    <col min="9" max="9" width="16.85546875" style="287" customWidth="1"/>
    <col min="10" max="16384" width="9.140625" style="266"/>
  </cols>
  <sheetData>
    <row r="1" spans="1:9" ht="20.25" x14ac:dyDescent="0.25">
      <c r="A1" s="324" t="s">
        <v>172</v>
      </c>
      <c r="B1" s="324"/>
      <c r="C1" s="324"/>
      <c r="D1" s="324"/>
      <c r="E1" s="324"/>
      <c r="F1" s="324"/>
      <c r="G1" s="324"/>
      <c r="H1" s="324"/>
      <c r="I1" s="324"/>
    </row>
    <row r="4" spans="1:9" x14ac:dyDescent="0.25">
      <c r="A4" s="267" t="s">
        <v>173</v>
      </c>
      <c r="B4" s="325">
        <v>43257</v>
      </c>
      <c r="C4" s="315"/>
      <c r="D4" s="267"/>
      <c r="E4" s="267"/>
      <c r="F4" s="317" t="s">
        <v>126</v>
      </c>
      <c r="G4" s="317"/>
      <c r="H4" s="317"/>
      <c r="I4" s="296" t="s">
        <v>232</v>
      </c>
    </row>
    <row r="5" spans="1:9" x14ac:dyDescent="0.25">
      <c r="A5" s="267"/>
      <c r="B5" s="267"/>
      <c r="C5" s="267"/>
      <c r="D5" s="267"/>
      <c r="E5" s="267"/>
      <c r="F5" s="267"/>
      <c r="G5" s="267"/>
      <c r="H5" s="267"/>
      <c r="I5" s="267"/>
    </row>
    <row r="6" spans="1:9" ht="18.75" x14ac:dyDescent="0.25">
      <c r="A6" s="268" t="s">
        <v>174</v>
      </c>
      <c r="B6" s="267"/>
      <c r="C6" s="267"/>
      <c r="D6" s="267"/>
      <c r="E6" s="267"/>
      <c r="F6" s="267"/>
      <c r="G6" s="267"/>
      <c r="H6" s="267"/>
      <c r="I6" s="267"/>
    </row>
    <row r="7" spans="1:9" x14ac:dyDescent="0.25">
      <c r="A7" s="267" t="s">
        <v>175</v>
      </c>
      <c r="B7" s="315" t="s">
        <v>233</v>
      </c>
      <c r="C7" s="315"/>
      <c r="D7" s="267"/>
      <c r="E7" s="267"/>
      <c r="F7" s="317" t="s">
        <v>224</v>
      </c>
      <c r="G7" s="317"/>
      <c r="H7" s="317"/>
      <c r="I7" s="292">
        <v>43244</v>
      </c>
    </row>
    <row r="8" spans="1:9" x14ac:dyDescent="0.25">
      <c r="A8" s="267" t="s">
        <v>176</v>
      </c>
      <c r="B8" s="316" t="s">
        <v>234</v>
      </c>
      <c r="C8" s="316"/>
      <c r="D8" s="267"/>
      <c r="E8" s="267"/>
      <c r="F8" s="317" t="s">
        <v>225</v>
      </c>
      <c r="G8" s="317"/>
      <c r="H8" s="317"/>
      <c r="I8" s="370" t="s">
        <v>235</v>
      </c>
    </row>
    <row r="9" spans="1:9" x14ac:dyDescent="0.25">
      <c r="A9" s="267"/>
      <c r="B9" s="267"/>
      <c r="C9" s="267"/>
      <c r="D9" s="267"/>
      <c r="E9" s="267"/>
      <c r="F9" s="267"/>
      <c r="G9" s="267"/>
      <c r="H9" s="267"/>
      <c r="I9" s="267"/>
    </row>
    <row r="10" spans="1:9" ht="21.75" customHeight="1" x14ac:dyDescent="0.25">
      <c r="A10" s="318" t="s">
        <v>177</v>
      </c>
      <c r="B10" s="319"/>
      <c r="C10" s="319"/>
      <c r="D10" s="319"/>
      <c r="E10" s="319"/>
      <c r="F10" s="319"/>
      <c r="G10" s="319"/>
      <c r="H10" s="319"/>
      <c r="I10" s="320"/>
    </row>
    <row r="11" spans="1:9" ht="15" x14ac:dyDescent="0.25">
      <c r="A11" s="321" t="s">
        <v>178</v>
      </c>
      <c r="B11" s="322"/>
      <c r="C11" s="322"/>
      <c r="D11" s="322"/>
      <c r="E11" s="322"/>
      <c r="F11" s="322"/>
      <c r="G11" s="322"/>
      <c r="H11" s="322"/>
      <c r="I11" s="323"/>
    </row>
    <row r="12" spans="1:9" x14ac:dyDescent="0.25">
      <c r="A12" s="269"/>
      <c r="B12" s="270"/>
      <c r="C12" s="270"/>
      <c r="D12" s="270"/>
      <c r="E12" s="270"/>
      <c r="F12" s="270"/>
      <c r="G12" s="270"/>
      <c r="H12" s="270"/>
      <c r="I12" s="271"/>
    </row>
    <row r="13" spans="1:9" x14ac:dyDescent="0.25">
      <c r="A13" s="272" t="s">
        <v>179</v>
      </c>
      <c r="B13" s="270"/>
      <c r="C13" s="270"/>
      <c r="D13" s="270"/>
      <c r="E13" s="270"/>
      <c r="F13" s="270"/>
      <c r="G13" s="270"/>
      <c r="H13" s="270"/>
      <c r="I13" s="271"/>
    </row>
    <row r="14" spans="1:9" x14ac:dyDescent="0.25">
      <c r="A14" s="273" t="s">
        <v>180</v>
      </c>
      <c r="B14" s="315" t="s">
        <v>226</v>
      </c>
      <c r="C14" s="315"/>
      <c r="D14" s="270"/>
      <c r="E14" s="274" t="s">
        <v>181</v>
      </c>
      <c r="F14" s="296">
        <v>1543</v>
      </c>
      <c r="G14" s="270"/>
      <c r="H14" s="270"/>
      <c r="I14" s="271"/>
    </row>
    <row r="15" spans="1:9" x14ac:dyDescent="0.25">
      <c r="A15" s="275"/>
      <c r="B15" s="276"/>
      <c r="C15" s="276"/>
      <c r="D15" s="276"/>
      <c r="E15" s="276"/>
      <c r="F15" s="276"/>
      <c r="G15" s="276"/>
      <c r="H15" s="276"/>
      <c r="I15" s="277"/>
    </row>
    <row r="16" spans="1:9" x14ac:dyDescent="0.25">
      <c r="A16" s="278" t="s">
        <v>182</v>
      </c>
      <c r="B16" s="276"/>
      <c r="C16" s="276"/>
      <c r="D16" s="276"/>
      <c r="E16" s="276"/>
      <c r="F16" s="276"/>
      <c r="G16" s="276"/>
      <c r="H16" s="276"/>
      <c r="I16" s="279" t="s">
        <v>183</v>
      </c>
    </row>
    <row r="17" spans="1:9" ht="21.75" customHeight="1" x14ac:dyDescent="0.25">
      <c r="A17" s="275"/>
      <c r="B17" s="308" t="s">
        <v>184</v>
      </c>
      <c r="C17" s="308"/>
      <c r="D17" s="308"/>
      <c r="E17" s="308"/>
      <c r="F17" s="308"/>
      <c r="G17" s="308"/>
      <c r="H17" s="308"/>
      <c r="I17" s="277"/>
    </row>
    <row r="18" spans="1:9" ht="34.5" customHeight="1" x14ac:dyDescent="0.25">
      <c r="A18" s="275"/>
      <c r="B18" s="314" t="s">
        <v>185</v>
      </c>
      <c r="C18" s="314"/>
      <c r="D18" s="314"/>
      <c r="E18" s="314"/>
      <c r="F18" s="314"/>
      <c r="G18" s="314"/>
      <c r="H18" s="314"/>
      <c r="I18" s="277"/>
    </row>
    <row r="19" spans="1:9" ht="21.75" customHeight="1" x14ac:dyDescent="0.25">
      <c r="A19" s="275"/>
      <c r="B19" s="308" t="s">
        <v>186</v>
      </c>
      <c r="C19" s="308"/>
      <c r="D19" s="308"/>
      <c r="E19" s="308"/>
      <c r="F19" s="308"/>
      <c r="G19" s="308"/>
      <c r="H19" s="308"/>
      <c r="I19" s="277"/>
    </row>
    <row r="20" spans="1:9" ht="13.5" customHeight="1" x14ac:dyDescent="0.25">
      <c r="A20" s="275"/>
      <c r="B20" s="276"/>
      <c r="C20" s="276"/>
      <c r="D20" s="276"/>
      <c r="E20" s="276"/>
      <c r="F20" s="276"/>
      <c r="G20" s="276"/>
      <c r="H20" s="276"/>
      <c r="I20" s="277"/>
    </row>
    <row r="21" spans="1:9" ht="33" x14ac:dyDescent="0.25">
      <c r="A21" s="275"/>
      <c r="B21" s="276"/>
      <c r="C21" s="276"/>
      <c r="D21" s="276"/>
      <c r="E21" s="276"/>
      <c r="F21" s="280" t="s">
        <v>187</v>
      </c>
      <c r="G21" s="280"/>
      <c r="H21" s="281" t="s">
        <v>222</v>
      </c>
      <c r="I21" s="279" t="s">
        <v>183</v>
      </c>
    </row>
    <row r="22" spans="1:9" x14ac:dyDescent="0.25">
      <c r="A22" s="278" t="s">
        <v>188</v>
      </c>
      <c r="B22" s="276"/>
      <c r="C22" s="276"/>
      <c r="D22" s="276"/>
      <c r="E22" s="276"/>
      <c r="F22" s="276"/>
      <c r="G22" s="276"/>
      <c r="H22" s="276"/>
      <c r="I22" s="277"/>
    </row>
    <row r="23" spans="1:9" ht="21.75" customHeight="1" x14ac:dyDescent="0.25">
      <c r="A23" s="307" t="s">
        <v>189</v>
      </c>
      <c r="B23" s="308"/>
      <c r="C23" s="308"/>
      <c r="D23" s="308"/>
      <c r="E23" s="308"/>
      <c r="F23" s="308"/>
      <c r="G23" s="297"/>
      <c r="H23" s="299">
        <v>80</v>
      </c>
      <c r="I23" s="277"/>
    </row>
    <row r="24" spans="1:9" ht="21.75" customHeight="1" x14ac:dyDescent="0.25">
      <c r="A24" s="307" t="s">
        <v>190</v>
      </c>
      <c r="B24" s="308"/>
      <c r="C24" s="308"/>
      <c r="D24" s="308"/>
      <c r="E24" s="308"/>
      <c r="F24" s="308"/>
      <c r="G24" s="297"/>
      <c r="H24" s="282">
        <v>5</v>
      </c>
      <c r="I24" s="277"/>
    </row>
    <row r="25" spans="1:9" ht="21.75" customHeight="1" x14ac:dyDescent="0.25">
      <c r="A25" s="307" t="s">
        <v>191</v>
      </c>
      <c r="B25" s="308"/>
      <c r="C25" s="308"/>
      <c r="D25" s="308"/>
      <c r="E25" s="308"/>
      <c r="F25" s="308"/>
      <c r="G25" s="297"/>
      <c r="H25" s="282" t="s">
        <v>236</v>
      </c>
      <c r="I25" s="277"/>
    </row>
    <row r="26" spans="1:9" ht="21" customHeight="1" x14ac:dyDescent="0.3">
      <c r="A26" s="307" t="s">
        <v>192</v>
      </c>
      <c r="B26" s="308"/>
      <c r="C26" s="308"/>
      <c r="D26" s="308"/>
      <c r="E26" s="308"/>
      <c r="F26" s="308"/>
      <c r="G26" s="297"/>
      <c r="H26" s="282" t="s">
        <v>236</v>
      </c>
      <c r="I26" s="283"/>
    </row>
    <row r="27" spans="1:9" ht="20.25" customHeight="1" x14ac:dyDescent="0.25">
      <c r="A27" s="310" t="s">
        <v>193</v>
      </c>
      <c r="B27" s="311"/>
      <c r="C27" s="311"/>
      <c r="D27" s="311"/>
      <c r="E27" s="311"/>
      <c r="F27" s="311"/>
      <c r="G27" s="297"/>
      <c r="H27" s="276"/>
      <c r="I27" s="277"/>
    </row>
    <row r="28" spans="1:9" x14ac:dyDescent="0.25">
      <c r="A28" s="275"/>
      <c r="B28" s="276"/>
      <c r="C28" s="276"/>
      <c r="D28" s="276"/>
      <c r="E28" s="276"/>
      <c r="F28" s="276"/>
      <c r="G28" s="276"/>
      <c r="H28" s="276"/>
      <c r="I28" s="277"/>
    </row>
    <row r="29" spans="1:9" x14ac:dyDescent="0.25">
      <c r="A29" s="278" t="s">
        <v>194</v>
      </c>
      <c r="B29" s="276"/>
      <c r="C29" s="276"/>
      <c r="D29" s="276"/>
      <c r="E29" s="276"/>
      <c r="F29" s="276"/>
      <c r="G29" s="276"/>
      <c r="H29" s="276"/>
      <c r="I29" s="277"/>
    </row>
    <row r="30" spans="1:9" ht="21" customHeight="1" x14ac:dyDescent="0.25">
      <c r="A30" s="307" t="s">
        <v>195</v>
      </c>
      <c r="B30" s="308"/>
      <c r="C30" s="308"/>
      <c r="D30" s="308"/>
      <c r="E30" s="308"/>
      <c r="F30" s="308"/>
      <c r="G30" s="276"/>
      <c r="H30" s="276"/>
      <c r="I30" s="277"/>
    </row>
    <row r="31" spans="1:9" ht="21" customHeight="1" x14ac:dyDescent="0.25">
      <c r="A31" s="275"/>
      <c r="B31" s="276"/>
      <c r="C31" s="276"/>
      <c r="D31" s="276"/>
      <c r="E31" s="276"/>
      <c r="F31" s="276"/>
      <c r="G31" s="276"/>
      <c r="H31" s="276"/>
      <c r="I31" s="277"/>
    </row>
    <row r="32" spans="1:9" ht="21" customHeight="1" x14ac:dyDescent="0.25">
      <c r="A32" s="275"/>
      <c r="B32" s="276"/>
      <c r="C32" s="276"/>
      <c r="D32" s="276"/>
      <c r="E32" s="276"/>
      <c r="F32" s="276"/>
      <c r="G32" s="276"/>
      <c r="H32" s="276"/>
      <c r="I32" s="277"/>
    </row>
    <row r="33" spans="1:9" ht="21" customHeight="1" x14ac:dyDescent="0.25">
      <c r="A33" s="312" t="s">
        <v>196</v>
      </c>
      <c r="B33" s="313"/>
      <c r="C33" s="313"/>
      <c r="D33" s="313"/>
      <c r="E33" s="313"/>
      <c r="F33" s="313"/>
      <c r="G33" s="284"/>
      <c r="H33" s="284"/>
      <c r="I33" s="285"/>
    </row>
    <row r="34" spans="1:9" ht="21" customHeight="1" x14ac:dyDescent="0.25">
      <c r="A34" s="286"/>
      <c r="B34" s="286"/>
      <c r="C34" s="286"/>
      <c r="D34" s="286"/>
      <c r="E34" s="286"/>
      <c r="F34" s="286"/>
    </row>
    <row r="36" spans="1:9" x14ac:dyDescent="0.25">
      <c r="A36" s="288" t="s">
        <v>197</v>
      </c>
      <c r="C36" s="309" t="s">
        <v>237</v>
      </c>
      <c r="D36" s="309"/>
      <c r="E36" s="276"/>
      <c r="G36" s="289" t="s">
        <v>198</v>
      </c>
      <c r="H36" s="306">
        <v>43258</v>
      </c>
      <c r="I36" s="306"/>
    </row>
  </sheetData>
  <mergeCells count="22">
    <mergeCell ref="A1:I1"/>
    <mergeCell ref="B4:C4"/>
    <mergeCell ref="F4:H4"/>
    <mergeCell ref="B7:C7"/>
    <mergeCell ref="F7:H7"/>
    <mergeCell ref="B19:H19"/>
    <mergeCell ref="B17:H17"/>
    <mergeCell ref="B18:H18"/>
    <mergeCell ref="B14:C14"/>
    <mergeCell ref="B8:C8"/>
    <mergeCell ref="F8:H8"/>
    <mergeCell ref="A10:I10"/>
    <mergeCell ref="A11:I11"/>
    <mergeCell ref="H36:I36"/>
    <mergeCell ref="A30:F30"/>
    <mergeCell ref="C36:D36"/>
    <mergeCell ref="A23:F23"/>
    <mergeCell ref="A24:F24"/>
    <mergeCell ref="A25:F25"/>
    <mergeCell ref="A26:F26"/>
    <mergeCell ref="A27:F27"/>
    <mergeCell ref="A33:F33"/>
  </mergeCells>
  <phoneticPr fontId="79" type="noConversion"/>
  <pageMargins left="0.25" right="0.25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8</xdr:col>
                    <xdr:colOff>38100</xdr:colOff>
                    <xdr:row>16</xdr:row>
                    <xdr:rowOff>38100</xdr:rowOff>
                  </from>
                  <to>
                    <xdr:col>8</xdr:col>
                    <xdr:colOff>342900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8</xdr:col>
                    <xdr:colOff>657225</xdr:colOff>
                    <xdr:row>16</xdr:row>
                    <xdr:rowOff>38100</xdr:rowOff>
                  </from>
                  <to>
                    <xdr:col>8</xdr:col>
                    <xdr:colOff>962025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8</xdr:col>
                    <xdr:colOff>38100</xdr:colOff>
                    <xdr:row>17</xdr:row>
                    <xdr:rowOff>38100</xdr:rowOff>
                  </from>
                  <to>
                    <xdr:col>8</xdr:col>
                    <xdr:colOff>342900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8</xdr:col>
                    <xdr:colOff>657225</xdr:colOff>
                    <xdr:row>17</xdr:row>
                    <xdr:rowOff>38100</xdr:rowOff>
                  </from>
                  <to>
                    <xdr:col>8</xdr:col>
                    <xdr:colOff>962025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Check Box 5">
              <controlPr defaultSize="0" autoFill="0" autoLine="0" autoPict="0">
                <anchor moveWithCells="1">
                  <from>
                    <xdr:col>8</xdr:col>
                    <xdr:colOff>38100</xdr:colOff>
                    <xdr:row>18</xdr:row>
                    <xdr:rowOff>38100</xdr:rowOff>
                  </from>
                  <to>
                    <xdr:col>8</xdr:col>
                    <xdr:colOff>342900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Check Box 6">
              <controlPr defaultSize="0" autoFill="0" autoLine="0" autoPict="0">
                <anchor moveWithCells="1">
                  <from>
                    <xdr:col>8</xdr:col>
                    <xdr:colOff>657225</xdr:colOff>
                    <xdr:row>18</xdr:row>
                    <xdr:rowOff>38100</xdr:rowOff>
                  </from>
                  <to>
                    <xdr:col>8</xdr:col>
                    <xdr:colOff>962025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Check Box 7">
              <controlPr defaultSize="0" autoFill="0" autoLine="0" autoPict="0">
                <anchor moveWithCells="1">
                  <from>
                    <xdr:col>8</xdr:col>
                    <xdr:colOff>38100</xdr:colOff>
                    <xdr:row>22</xdr:row>
                    <xdr:rowOff>38100</xdr:rowOff>
                  </from>
                  <to>
                    <xdr:col>8</xdr:col>
                    <xdr:colOff>342900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Check Box 8">
              <controlPr defaultSize="0" autoFill="0" autoLine="0" autoPict="0">
                <anchor moveWithCells="1">
                  <from>
                    <xdr:col>8</xdr:col>
                    <xdr:colOff>657225</xdr:colOff>
                    <xdr:row>22</xdr:row>
                    <xdr:rowOff>38100</xdr:rowOff>
                  </from>
                  <to>
                    <xdr:col>8</xdr:col>
                    <xdr:colOff>962025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Check Box 9">
              <controlPr defaultSize="0" autoFill="0" autoLine="0" autoPict="0">
                <anchor moveWithCells="1">
                  <from>
                    <xdr:col>8</xdr:col>
                    <xdr:colOff>38100</xdr:colOff>
                    <xdr:row>23</xdr:row>
                    <xdr:rowOff>38100</xdr:rowOff>
                  </from>
                  <to>
                    <xdr:col>8</xdr:col>
                    <xdr:colOff>342900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Check Box 10">
              <controlPr defaultSize="0" autoFill="0" autoLine="0" autoPict="0">
                <anchor moveWithCells="1">
                  <from>
                    <xdr:col>8</xdr:col>
                    <xdr:colOff>657225</xdr:colOff>
                    <xdr:row>23</xdr:row>
                    <xdr:rowOff>38100</xdr:rowOff>
                  </from>
                  <to>
                    <xdr:col>8</xdr:col>
                    <xdr:colOff>962025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Check Box 11">
              <controlPr defaultSize="0" autoFill="0" autoLine="0" autoPict="0">
                <anchor moveWithCells="1">
                  <from>
                    <xdr:col>8</xdr:col>
                    <xdr:colOff>38100</xdr:colOff>
                    <xdr:row>24</xdr:row>
                    <xdr:rowOff>38100</xdr:rowOff>
                  </from>
                  <to>
                    <xdr:col>8</xdr:col>
                    <xdr:colOff>342900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Check Box 12">
              <controlPr defaultSize="0" autoFill="0" autoLine="0" autoPict="0">
                <anchor moveWithCells="1">
                  <from>
                    <xdr:col>8</xdr:col>
                    <xdr:colOff>657225</xdr:colOff>
                    <xdr:row>24</xdr:row>
                    <xdr:rowOff>38100</xdr:rowOff>
                  </from>
                  <to>
                    <xdr:col>8</xdr:col>
                    <xdr:colOff>962025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Check Box 13">
              <controlPr defaultSize="0" autoFill="0" autoLine="0" autoPict="0">
                <anchor moveWithCells="1">
                  <from>
                    <xdr:col>8</xdr:col>
                    <xdr:colOff>38100</xdr:colOff>
                    <xdr:row>25</xdr:row>
                    <xdr:rowOff>38100</xdr:rowOff>
                  </from>
                  <to>
                    <xdr:col>8</xdr:col>
                    <xdr:colOff>342900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Check Box 14">
              <controlPr defaultSize="0" autoFill="0" autoLine="0" autoPict="0">
                <anchor moveWithCells="1">
                  <from>
                    <xdr:col>8</xdr:col>
                    <xdr:colOff>657225</xdr:colOff>
                    <xdr:row>25</xdr:row>
                    <xdr:rowOff>38100</xdr:rowOff>
                  </from>
                  <to>
                    <xdr:col>8</xdr:col>
                    <xdr:colOff>962025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Check Box 15">
              <controlPr defaultSize="0" autoFill="0" autoLine="0" autoPict="0">
                <anchor moveWithCells="1">
                  <from>
                    <xdr:col>7</xdr:col>
                    <xdr:colOff>38100</xdr:colOff>
                    <xdr:row>29</xdr:row>
                    <xdr:rowOff>38100</xdr:rowOff>
                  </from>
                  <to>
                    <xdr:col>8</xdr:col>
                    <xdr:colOff>180975</xdr:colOff>
                    <xdr:row>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Check Box 16">
              <controlPr defaultSize="0" autoFill="0" autoLine="0" autoPict="0">
                <anchor moveWithCells="1">
                  <from>
                    <xdr:col>7</xdr:col>
                    <xdr:colOff>38100</xdr:colOff>
                    <xdr:row>30</xdr:row>
                    <xdr:rowOff>38100</xdr:rowOff>
                  </from>
                  <to>
                    <xdr:col>8</xdr:col>
                    <xdr:colOff>180975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Check Box 17">
              <controlPr defaultSize="0" autoFill="0" autoLine="0" autoPict="0">
                <anchor moveWithCells="1">
                  <from>
                    <xdr:col>7</xdr:col>
                    <xdr:colOff>38100</xdr:colOff>
                    <xdr:row>31</xdr:row>
                    <xdr:rowOff>38100</xdr:rowOff>
                  </from>
                  <to>
                    <xdr:col>8</xdr:col>
                    <xdr:colOff>180975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Check Box 18">
              <controlPr defaultSize="0" autoFill="0" autoLine="0" autoPict="0">
                <anchor moveWithCells="1">
                  <from>
                    <xdr:col>7</xdr:col>
                    <xdr:colOff>38100</xdr:colOff>
                    <xdr:row>32</xdr:row>
                    <xdr:rowOff>38100</xdr:rowOff>
                  </from>
                  <to>
                    <xdr:col>7</xdr:col>
                    <xdr:colOff>342900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Check Box 19">
              <controlPr defaultSize="0" autoFill="0" autoLine="0" autoPict="0">
                <anchor moveWithCells="1">
                  <from>
                    <xdr:col>7</xdr:col>
                    <xdr:colOff>657225</xdr:colOff>
                    <xdr:row>32</xdr:row>
                    <xdr:rowOff>38100</xdr:rowOff>
                  </from>
                  <to>
                    <xdr:col>7</xdr:col>
                    <xdr:colOff>962025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Check Box 20">
              <controlPr defaultSize="0" autoFill="0" autoLine="0" autoPict="0">
                <anchor moveWithCells="1">
                  <from>
                    <xdr:col>8</xdr:col>
                    <xdr:colOff>38100</xdr:colOff>
                    <xdr:row>16</xdr:row>
                    <xdr:rowOff>38100</xdr:rowOff>
                  </from>
                  <to>
                    <xdr:col>8</xdr:col>
                    <xdr:colOff>342900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Check Box 21">
              <controlPr defaultSize="0" autoFill="0" autoLine="0" autoPict="0">
                <anchor moveWithCells="1">
                  <from>
                    <xdr:col>8</xdr:col>
                    <xdr:colOff>657225</xdr:colOff>
                    <xdr:row>16</xdr:row>
                    <xdr:rowOff>38100</xdr:rowOff>
                  </from>
                  <to>
                    <xdr:col>8</xdr:col>
                    <xdr:colOff>962025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Check Box 22">
              <controlPr defaultSize="0" autoFill="0" autoLine="0" autoPict="0">
                <anchor moveWithCells="1">
                  <from>
                    <xdr:col>8</xdr:col>
                    <xdr:colOff>38100</xdr:colOff>
                    <xdr:row>17</xdr:row>
                    <xdr:rowOff>38100</xdr:rowOff>
                  </from>
                  <to>
                    <xdr:col>8</xdr:col>
                    <xdr:colOff>342900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Check Box 23">
              <controlPr defaultSize="0" autoFill="0" autoLine="0" autoPict="0">
                <anchor moveWithCells="1">
                  <from>
                    <xdr:col>8</xdr:col>
                    <xdr:colOff>657225</xdr:colOff>
                    <xdr:row>17</xdr:row>
                    <xdr:rowOff>38100</xdr:rowOff>
                  </from>
                  <to>
                    <xdr:col>8</xdr:col>
                    <xdr:colOff>962025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Check Box 24">
              <controlPr defaultSize="0" autoFill="0" autoLine="0" autoPict="0">
                <anchor moveWithCells="1">
                  <from>
                    <xdr:col>8</xdr:col>
                    <xdr:colOff>38100</xdr:colOff>
                    <xdr:row>18</xdr:row>
                    <xdr:rowOff>38100</xdr:rowOff>
                  </from>
                  <to>
                    <xdr:col>8</xdr:col>
                    <xdr:colOff>342900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Check Box 25">
              <controlPr defaultSize="0" autoFill="0" autoLine="0" autoPict="0">
                <anchor moveWithCells="1">
                  <from>
                    <xdr:col>8</xdr:col>
                    <xdr:colOff>657225</xdr:colOff>
                    <xdr:row>18</xdr:row>
                    <xdr:rowOff>38100</xdr:rowOff>
                  </from>
                  <to>
                    <xdr:col>8</xdr:col>
                    <xdr:colOff>962025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9" name="Check Box 26">
              <controlPr defaultSize="0" autoFill="0" autoLine="0" autoPict="0">
                <anchor moveWithCells="1">
                  <from>
                    <xdr:col>8</xdr:col>
                    <xdr:colOff>38100</xdr:colOff>
                    <xdr:row>22</xdr:row>
                    <xdr:rowOff>38100</xdr:rowOff>
                  </from>
                  <to>
                    <xdr:col>8</xdr:col>
                    <xdr:colOff>342900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0" name="Check Box 27">
              <controlPr defaultSize="0" autoFill="0" autoLine="0" autoPict="0">
                <anchor moveWithCells="1">
                  <from>
                    <xdr:col>8</xdr:col>
                    <xdr:colOff>657225</xdr:colOff>
                    <xdr:row>22</xdr:row>
                    <xdr:rowOff>38100</xdr:rowOff>
                  </from>
                  <to>
                    <xdr:col>8</xdr:col>
                    <xdr:colOff>962025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1" name="Check Box 28">
              <controlPr defaultSize="0" autoFill="0" autoLine="0" autoPict="0">
                <anchor moveWithCells="1">
                  <from>
                    <xdr:col>8</xdr:col>
                    <xdr:colOff>38100</xdr:colOff>
                    <xdr:row>23</xdr:row>
                    <xdr:rowOff>38100</xdr:rowOff>
                  </from>
                  <to>
                    <xdr:col>8</xdr:col>
                    <xdr:colOff>342900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2" name="Check Box 29">
              <controlPr defaultSize="0" autoFill="0" autoLine="0" autoPict="0">
                <anchor moveWithCells="1">
                  <from>
                    <xdr:col>8</xdr:col>
                    <xdr:colOff>657225</xdr:colOff>
                    <xdr:row>23</xdr:row>
                    <xdr:rowOff>38100</xdr:rowOff>
                  </from>
                  <to>
                    <xdr:col>8</xdr:col>
                    <xdr:colOff>962025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3" name="Check Box 30">
              <controlPr defaultSize="0" autoFill="0" autoLine="0" autoPict="0">
                <anchor moveWithCells="1">
                  <from>
                    <xdr:col>8</xdr:col>
                    <xdr:colOff>38100</xdr:colOff>
                    <xdr:row>24</xdr:row>
                    <xdr:rowOff>38100</xdr:rowOff>
                  </from>
                  <to>
                    <xdr:col>8</xdr:col>
                    <xdr:colOff>342900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4" name="Check Box 31">
              <controlPr defaultSize="0" autoFill="0" autoLine="0" autoPict="0">
                <anchor moveWithCells="1">
                  <from>
                    <xdr:col>8</xdr:col>
                    <xdr:colOff>657225</xdr:colOff>
                    <xdr:row>24</xdr:row>
                    <xdr:rowOff>38100</xdr:rowOff>
                  </from>
                  <to>
                    <xdr:col>8</xdr:col>
                    <xdr:colOff>962025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5" name="Check Box 32">
              <controlPr defaultSize="0" autoFill="0" autoLine="0" autoPict="0">
                <anchor moveWithCells="1">
                  <from>
                    <xdr:col>8</xdr:col>
                    <xdr:colOff>38100</xdr:colOff>
                    <xdr:row>25</xdr:row>
                    <xdr:rowOff>38100</xdr:rowOff>
                  </from>
                  <to>
                    <xdr:col>8</xdr:col>
                    <xdr:colOff>342900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6" name="Check Box 33">
              <controlPr defaultSize="0" autoFill="0" autoLine="0" autoPict="0">
                <anchor moveWithCells="1">
                  <from>
                    <xdr:col>8</xdr:col>
                    <xdr:colOff>657225</xdr:colOff>
                    <xdr:row>25</xdr:row>
                    <xdr:rowOff>38100</xdr:rowOff>
                  </from>
                  <to>
                    <xdr:col>8</xdr:col>
                    <xdr:colOff>962025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7" name="Check Box 34">
              <controlPr defaultSize="0" autoFill="0" autoLine="0" autoPict="0">
                <anchor moveWithCells="1">
                  <from>
                    <xdr:col>7</xdr:col>
                    <xdr:colOff>38100</xdr:colOff>
                    <xdr:row>29</xdr:row>
                    <xdr:rowOff>38100</xdr:rowOff>
                  </from>
                  <to>
                    <xdr:col>8</xdr:col>
                    <xdr:colOff>180975</xdr:colOff>
                    <xdr:row>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8" name="Check Box 35">
              <controlPr defaultSize="0" autoFill="0" autoLine="0" autoPict="0">
                <anchor moveWithCells="1">
                  <from>
                    <xdr:col>7</xdr:col>
                    <xdr:colOff>38100</xdr:colOff>
                    <xdr:row>30</xdr:row>
                    <xdr:rowOff>38100</xdr:rowOff>
                  </from>
                  <to>
                    <xdr:col>8</xdr:col>
                    <xdr:colOff>180975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9" name="Check Box 36">
              <controlPr defaultSize="0" autoFill="0" autoLine="0" autoPict="0">
                <anchor moveWithCells="1">
                  <from>
                    <xdr:col>7</xdr:col>
                    <xdr:colOff>38100</xdr:colOff>
                    <xdr:row>31</xdr:row>
                    <xdr:rowOff>38100</xdr:rowOff>
                  </from>
                  <to>
                    <xdr:col>8</xdr:col>
                    <xdr:colOff>180975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0" name="Check Box 37">
              <controlPr defaultSize="0" autoFill="0" autoLine="0" autoPict="0">
                <anchor moveWithCells="1">
                  <from>
                    <xdr:col>7</xdr:col>
                    <xdr:colOff>38100</xdr:colOff>
                    <xdr:row>32</xdr:row>
                    <xdr:rowOff>38100</xdr:rowOff>
                  </from>
                  <to>
                    <xdr:col>7</xdr:col>
                    <xdr:colOff>342900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1" name="Check Box 38">
              <controlPr defaultSize="0" autoFill="0" autoLine="0" autoPict="0">
                <anchor moveWithCells="1">
                  <from>
                    <xdr:col>7</xdr:col>
                    <xdr:colOff>657225</xdr:colOff>
                    <xdr:row>32</xdr:row>
                    <xdr:rowOff>38100</xdr:rowOff>
                  </from>
                  <to>
                    <xdr:col>7</xdr:col>
                    <xdr:colOff>962025</xdr:colOff>
                    <xdr:row>32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5"/>
  <sheetViews>
    <sheetView workbookViewId="0">
      <selection sqref="A1:XFD1048576"/>
    </sheetView>
  </sheetViews>
  <sheetFormatPr defaultRowHeight="12.75" x14ac:dyDescent="0.2"/>
  <cols>
    <col min="1" max="1" width="25.42578125" style="24" customWidth="1"/>
    <col min="2" max="2" width="13.85546875" style="24" customWidth="1"/>
    <col min="3" max="3" width="13.42578125" style="24" customWidth="1"/>
    <col min="4" max="4" width="13.140625" style="24" customWidth="1"/>
    <col min="5" max="5" width="10.7109375" style="24" customWidth="1"/>
    <col min="6" max="6" width="19.28515625" style="24" customWidth="1"/>
    <col min="7" max="7" width="9.140625" style="24"/>
    <col min="8" max="8" width="13" style="24" customWidth="1"/>
    <col min="9" max="16" width="9.140625" style="24"/>
    <col min="17" max="17" width="9.85546875" style="24" customWidth="1"/>
    <col min="18" max="16384" width="9.140625" style="24"/>
  </cols>
  <sheetData>
    <row r="1" spans="1:17" ht="14.25" x14ac:dyDescent="0.2">
      <c r="A1" s="329" t="s">
        <v>113</v>
      </c>
      <c r="B1" s="330"/>
      <c r="C1" s="330"/>
      <c r="D1" s="330"/>
      <c r="E1" s="330"/>
      <c r="F1" s="330"/>
    </row>
    <row r="2" spans="1:17" ht="18.75" customHeight="1" x14ac:dyDescent="0.2">
      <c r="A2" s="329" t="s">
        <v>112</v>
      </c>
      <c r="B2" s="329"/>
      <c r="C2" s="329"/>
      <c r="D2" s="329"/>
      <c r="E2" s="329"/>
      <c r="F2" s="329"/>
    </row>
    <row r="3" spans="1:17" ht="15" customHeight="1" x14ac:dyDescent="0.2">
      <c r="A3" s="25" t="s">
        <v>44</v>
      </c>
      <c r="B3" s="303">
        <v>39</v>
      </c>
      <c r="C3" s="304"/>
      <c r="D3" s="304" t="s">
        <v>45</v>
      </c>
      <c r="E3" s="327" t="s">
        <v>46</v>
      </c>
      <c r="F3" s="327"/>
    </row>
    <row r="4" spans="1:17" ht="15" customHeight="1" thickBot="1" x14ac:dyDescent="0.25">
      <c r="A4" s="26" t="s">
        <v>47</v>
      </c>
      <c r="B4" s="331">
        <v>43258.501388888886</v>
      </c>
      <c r="C4" s="331"/>
      <c r="D4" s="26" t="s">
        <v>109</v>
      </c>
      <c r="E4" s="328" t="s">
        <v>227</v>
      </c>
      <c r="F4" s="328"/>
    </row>
    <row r="5" spans="1:17" s="31" customFormat="1" ht="15" customHeight="1" thickTop="1" x14ac:dyDescent="0.2">
      <c r="A5" s="27" t="s">
        <v>48</v>
      </c>
      <c r="B5" s="28"/>
      <c r="C5" s="29"/>
      <c r="D5" s="30" t="s">
        <v>49</v>
      </c>
      <c r="E5" s="28" t="s">
        <v>50</v>
      </c>
      <c r="F5" s="293">
        <v>43235</v>
      </c>
      <c r="H5" s="31" t="s">
        <v>51</v>
      </c>
    </row>
    <row r="6" spans="1:17" s="31" customFormat="1" ht="15" customHeight="1" thickBot="1" x14ac:dyDescent="0.25">
      <c r="A6" s="32" t="s">
        <v>52</v>
      </c>
      <c r="B6" s="109">
        <f>4.621*(10^5)</f>
        <v>462100.00000000006</v>
      </c>
      <c r="C6" s="33" t="s">
        <v>53</v>
      </c>
      <c r="D6" s="34"/>
      <c r="E6" s="110">
        <f>$B$6*(10^6)/(10^9)</f>
        <v>462.10000000000008</v>
      </c>
      <c r="F6" s="35" t="s">
        <v>54</v>
      </c>
      <c r="H6" s="31" t="s">
        <v>51</v>
      </c>
    </row>
    <row r="7" spans="1:17" ht="15" customHeight="1" thickTop="1" x14ac:dyDescent="0.2">
      <c r="A7" s="36" t="s">
        <v>55</v>
      </c>
      <c r="B7" s="37"/>
      <c r="D7" s="38"/>
      <c r="E7" s="38"/>
      <c r="F7" s="39"/>
    </row>
    <row r="8" spans="1:17" ht="15" customHeight="1" x14ac:dyDescent="0.25">
      <c r="A8" s="36" t="s">
        <v>56</v>
      </c>
      <c r="B8" s="40" t="s">
        <v>51</v>
      </c>
      <c r="C8" s="114">
        <v>1</v>
      </c>
      <c r="D8" s="40" t="s">
        <v>57</v>
      </c>
      <c r="E8" s="38" t="s">
        <v>51</v>
      </c>
      <c r="F8" s="39"/>
    </row>
    <row r="9" spans="1:17" ht="15" customHeight="1" thickBot="1" x14ac:dyDescent="0.25">
      <c r="A9" s="41" t="s">
        <v>58</v>
      </c>
      <c r="B9" s="42"/>
      <c r="C9" s="43"/>
      <c r="D9" s="42"/>
      <c r="E9" s="42"/>
      <c r="F9" s="44"/>
    </row>
    <row r="10" spans="1:17" ht="13.5" thickTop="1" x14ac:dyDescent="0.2">
      <c r="A10" s="45" t="s">
        <v>59</v>
      </c>
      <c r="B10" s="46"/>
      <c r="C10" s="46"/>
      <c r="D10" s="46"/>
      <c r="E10" s="46"/>
      <c r="F10" s="39"/>
      <c r="I10" s="134" t="s">
        <v>110</v>
      </c>
      <c r="J10" s="134"/>
      <c r="K10" s="134"/>
    </row>
    <row r="11" spans="1:17" ht="14.25" thickBot="1" x14ac:dyDescent="0.3">
      <c r="A11" s="47" t="s">
        <v>60</v>
      </c>
      <c r="B11" s="122">
        <v>22.8</v>
      </c>
      <c r="C11" s="48"/>
      <c r="D11" s="122">
        <v>758.2</v>
      </c>
      <c r="E11" s="49" t="s">
        <v>61</v>
      </c>
      <c r="F11" s="107">
        <f>IF(B11="","",((273.15+$B$11)/295.15)*760/$D$11)</f>
        <v>1.0050909647942896</v>
      </c>
    </row>
    <row r="12" spans="1:17" ht="16.5" customHeight="1" thickTop="1" x14ac:dyDescent="0.2">
      <c r="A12" s="50" t="s">
        <v>51</v>
      </c>
      <c r="B12" s="332"/>
      <c r="C12" s="333"/>
      <c r="D12" s="46" t="s">
        <v>62</v>
      </c>
      <c r="E12" s="46"/>
      <c r="F12" s="51"/>
      <c r="I12" s="326" t="s">
        <v>63</v>
      </c>
      <c r="J12" s="326"/>
      <c r="K12" s="326"/>
      <c r="L12" s="326"/>
      <c r="M12" s="326"/>
      <c r="N12" s="326"/>
      <c r="O12" s="326"/>
      <c r="Q12" s="130" t="s">
        <v>64</v>
      </c>
    </row>
    <row r="13" spans="1:17" s="57" customFormat="1" ht="21" customHeight="1" x14ac:dyDescent="0.2">
      <c r="A13" s="52" t="s">
        <v>65</v>
      </c>
      <c r="B13" s="53"/>
      <c r="C13" s="54" t="s">
        <v>66</v>
      </c>
      <c r="D13" s="53" t="s">
        <v>67</v>
      </c>
      <c r="E13" s="55" t="s">
        <v>66</v>
      </c>
      <c r="F13" s="56"/>
      <c r="I13" s="130">
        <v>248</v>
      </c>
      <c r="J13" s="130">
        <v>249</v>
      </c>
      <c r="K13" s="130">
        <v>250</v>
      </c>
      <c r="L13" s="130">
        <v>251</v>
      </c>
      <c r="M13" s="130">
        <v>252</v>
      </c>
      <c r="N13" s="130">
        <v>253</v>
      </c>
      <c r="O13" s="130">
        <v>255</v>
      </c>
      <c r="Q13" s="130">
        <v>253</v>
      </c>
    </row>
    <row r="14" spans="1:17" ht="18" customHeight="1" x14ac:dyDescent="0.2">
      <c r="A14" s="58" t="s">
        <v>68</v>
      </c>
      <c r="B14" s="106" t="s">
        <v>51</v>
      </c>
      <c r="D14" s="336">
        <v>249</v>
      </c>
      <c r="E14" s="132">
        <v>-38.951999999999998</v>
      </c>
      <c r="F14" s="39"/>
      <c r="I14" s="132">
        <v>-38.944000000000003</v>
      </c>
      <c r="J14" s="132">
        <v>-38.951999999999998</v>
      </c>
      <c r="K14" s="132">
        <v>-38.953000000000003</v>
      </c>
      <c r="L14" s="132">
        <v>-38.944000000000003</v>
      </c>
      <c r="M14" s="132">
        <v>-38.930999999999997</v>
      </c>
      <c r="N14" s="132"/>
      <c r="O14" s="132"/>
      <c r="Q14" s="132"/>
    </row>
    <row r="15" spans="1:17" ht="15.75" customHeight="1" x14ac:dyDescent="0.2">
      <c r="A15" s="123">
        <v>0</v>
      </c>
      <c r="B15" s="106"/>
      <c r="C15" s="59"/>
      <c r="D15" s="337"/>
      <c r="E15" s="132">
        <v>-38.950000000000003</v>
      </c>
      <c r="F15" s="39"/>
      <c r="I15" s="132">
        <v>-38.945</v>
      </c>
      <c r="J15" s="132">
        <v>-38.950000000000003</v>
      </c>
      <c r="K15" s="132">
        <v>-38.950000000000003</v>
      </c>
      <c r="L15" s="132">
        <v>-38.948999999999998</v>
      </c>
      <c r="M15" s="132">
        <v>-38.93</v>
      </c>
      <c r="N15" s="132"/>
      <c r="O15" s="133"/>
      <c r="Q15" s="132"/>
    </row>
    <row r="16" spans="1:17" ht="17.25" customHeight="1" x14ac:dyDescent="0.2">
      <c r="A16" s="58" t="s">
        <v>69</v>
      </c>
      <c r="B16" s="106"/>
      <c r="C16" s="59"/>
      <c r="D16" s="337"/>
      <c r="E16" s="132">
        <v>-38.948</v>
      </c>
      <c r="F16" s="39"/>
      <c r="I16" s="132">
        <v>-38.944000000000003</v>
      </c>
      <c r="J16" s="132">
        <v>-38.948</v>
      </c>
      <c r="K16" s="132">
        <v>-38.945999999999998</v>
      </c>
      <c r="L16" s="132">
        <v>-38.936999999999998</v>
      </c>
      <c r="M16" s="132">
        <v>-39.929000000000002</v>
      </c>
      <c r="N16" s="132"/>
      <c r="O16" s="132"/>
      <c r="Q16" s="132"/>
    </row>
    <row r="17" spans="1:17" ht="16.5" customHeight="1" x14ac:dyDescent="0.2">
      <c r="A17" s="123">
        <v>0</v>
      </c>
      <c r="B17" s="106"/>
      <c r="C17" s="59"/>
      <c r="D17" s="337"/>
      <c r="E17" s="132">
        <v>-38.953000000000003</v>
      </c>
      <c r="F17" s="39"/>
      <c r="I17" s="132">
        <v>-38.945</v>
      </c>
      <c r="J17" s="132">
        <v>-38.953000000000003</v>
      </c>
      <c r="K17" s="132"/>
      <c r="L17" s="132">
        <v>-38.938000000000002</v>
      </c>
      <c r="M17" s="132"/>
      <c r="N17" s="132"/>
      <c r="O17" s="132"/>
      <c r="Q17" s="132"/>
    </row>
    <row r="18" spans="1:17" ht="15" customHeight="1" x14ac:dyDescent="0.2">
      <c r="A18" s="60" t="s">
        <v>70</v>
      </c>
      <c r="B18" s="106"/>
      <c r="C18" s="59"/>
      <c r="D18" s="337"/>
      <c r="E18" s="132">
        <f>-38.948</f>
        <v>-38.948</v>
      </c>
      <c r="F18" s="39"/>
      <c r="I18" s="132">
        <v>-38.945999999999998</v>
      </c>
      <c r="J18" s="132">
        <f>-38.948</f>
        <v>-38.948</v>
      </c>
      <c r="K18" s="132"/>
      <c r="L18" s="132">
        <v>-38.935000000000002</v>
      </c>
      <c r="M18" s="132"/>
      <c r="N18" s="132"/>
      <c r="O18" s="132"/>
      <c r="Q18" s="132"/>
    </row>
    <row r="19" spans="1:17" ht="15" customHeight="1" x14ac:dyDescent="0.2">
      <c r="A19" s="117">
        <f>(A15+A17)/2</f>
        <v>0</v>
      </c>
      <c r="B19" s="106"/>
      <c r="C19" s="59"/>
      <c r="D19" s="337"/>
      <c r="E19" s="132">
        <v>-38.954000000000001</v>
      </c>
      <c r="F19" s="39"/>
      <c r="I19" s="132">
        <v>-38.945</v>
      </c>
      <c r="J19" s="132">
        <v>-38.954000000000001</v>
      </c>
      <c r="K19" s="132"/>
      <c r="L19" s="132"/>
      <c r="M19" s="132"/>
      <c r="N19" s="132"/>
      <c r="O19" s="132"/>
      <c r="Q19" s="132"/>
    </row>
    <row r="20" spans="1:17" ht="15" customHeight="1" thickBot="1" x14ac:dyDescent="0.3">
      <c r="A20" s="61"/>
      <c r="B20" s="62"/>
      <c r="C20" s="63" t="s">
        <v>51</v>
      </c>
      <c r="D20" s="108" t="s">
        <v>71</v>
      </c>
      <c r="E20" s="116">
        <f>IF(E14="","",AVERAGE(E14:E19))</f>
        <v>-38.950833333333335</v>
      </c>
      <c r="F20" s="44"/>
      <c r="I20" s="132"/>
      <c r="J20" s="132"/>
      <c r="K20" s="132"/>
      <c r="L20" s="132"/>
      <c r="M20" s="132"/>
      <c r="N20" s="132"/>
      <c r="O20" s="132"/>
      <c r="Q20" s="132"/>
    </row>
    <row r="21" spans="1:17" ht="13.5" thickTop="1" x14ac:dyDescent="0.2">
      <c r="A21" s="64" t="s">
        <v>72</v>
      </c>
      <c r="F21" s="65" t="s">
        <v>71</v>
      </c>
      <c r="I21" s="132"/>
      <c r="J21" s="132"/>
      <c r="K21" s="132"/>
      <c r="L21" s="132"/>
      <c r="M21" s="132"/>
      <c r="N21" s="132"/>
      <c r="O21" s="132"/>
      <c r="Q21" s="132"/>
    </row>
    <row r="22" spans="1:17" ht="15" customHeight="1" x14ac:dyDescent="0.25">
      <c r="A22" s="66" t="s">
        <v>73</v>
      </c>
      <c r="B22" s="124">
        <v>-2699.7</v>
      </c>
      <c r="C22" s="124">
        <v>-2699.7</v>
      </c>
      <c r="D22" s="124">
        <v>-2699.6</v>
      </c>
      <c r="E22" s="67" t="s">
        <v>74</v>
      </c>
      <c r="F22" s="68">
        <f>IF(B22="","",AVERAGE(B22:D22))</f>
        <v>-2699.6666666666665</v>
      </c>
      <c r="I22" s="132"/>
      <c r="J22" s="132"/>
      <c r="K22" s="132"/>
      <c r="L22" s="132"/>
      <c r="M22" s="132"/>
      <c r="N22" s="132"/>
      <c r="O22" s="132"/>
      <c r="Q22" s="132"/>
    </row>
    <row r="23" spans="1:17" ht="15.75" customHeight="1" x14ac:dyDescent="0.25">
      <c r="A23" s="66" t="s">
        <v>75</v>
      </c>
      <c r="B23" s="124">
        <v>-2690.3</v>
      </c>
      <c r="C23" s="124">
        <v>-2693.2</v>
      </c>
      <c r="D23" s="124">
        <v>-2693.3</v>
      </c>
      <c r="E23" s="67" t="s">
        <v>74</v>
      </c>
      <c r="F23" s="68">
        <f>IF(B23="","",AVERAGE(B23:D23))</f>
        <v>-2692.2666666666669</v>
      </c>
      <c r="I23" s="132"/>
      <c r="J23" s="132"/>
      <c r="K23" s="132"/>
      <c r="L23" s="132"/>
      <c r="M23" s="132"/>
      <c r="N23" s="132"/>
      <c r="O23" s="132"/>
      <c r="Q23" s="132"/>
    </row>
    <row r="24" spans="1:17" ht="16.5" customHeight="1" thickBot="1" x14ac:dyDescent="0.25">
      <c r="A24" s="69" t="s">
        <v>76</v>
      </c>
      <c r="B24" s="43"/>
      <c r="C24" s="115">
        <f>IF(F22="","",1/((4/3)-((F22)/(3*F23))))</f>
        <v>1.0009170446377673</v>
      </c>
      <c r="D24" s="43" t="s">
        <v>51</v>
      </c>
      <c r="E24" s="43"/>
      <c r="F24" s="44"/>
      <c r="I24" s="132"/>
      <c r="J24" s="132"/>
      <c r="K24" s="132"/>
      <c r="L24" s="132"/>
      <c r="M24" s="132"/>
      <c r="N24" s="132"/>
      <c r="O24" s="132"/>
      <c r="Q24" s="132"/>
    </row>
    <row r="25" spans="1:17" ht="18" customHeight="1" thickTop="1" x14ac:dyDescent="0.3">
      <c r="A25" s="70" t="s">
        <v>77</v>
      </c>
      <c r="F25" s="39"/>
      <c r="I25" s="131">
        <f t="shared" ref="I25:O25" si="0">IF(I14="","",AVERAGE(I14:I24))</f>
        <v>-38.944833333333335</v>
      </c>
      <c r="J25" s="131">
        <f t="shared" si="0"/>
        <v>-38.950833333333335</v>
      </c>
      <c r="K25" s="131">
        <f t="shared" si="0"/>
        <v>-38.949666666666666</v>
      </c>
      <c r="L25" s="131">
        <f t="shared" si="0"/>
        <v>-38.940600000000003</v>
      </c>
      <c r="M25" s="131">
        <f t="shared" si="0"/>
        <v>-39.263333333333328</v>
      </c>
      <c r="N25" s="131" t="str">
        <f t="shared" si="0"/>
        <v/>
      </c>
      <c r="O25" s="131" t="str">
        <f t="shared" si="0"/>
        <v/>
      </c>
      <c r="Q25" s="131" t="str">
        <f>IF(Q14="","",AVERAGE(Q14:Q24))</f>
        <v/>
      </c>
    </row>
    <row r="26" spans="1:17" x14ac:dyDescent="0.2">
      <c r="A26" s="71" t="s">
        <v>78</v>
      </c>
      <c r="B26" s="72" t="s">
        <v>79</v>
      </c>
      <c r="C26" s="66"/>
      <c r="D26" s="66"/>
      <c r="E26" s="73">
        <f>IF(E20="","",$E$20-$A$19)</f>
        <v>-38.950833333333335</v>
      </c>
      <c r="F26" s="39"/>
    </row>
    <row r="27" spans="1:17" ht="13.5" x14ac:dyDescent="0.25">
      <c r="A27" s="71" t="s">
        <v>80</v>
      </c>
      <c r="B27" s="72" t="s">
        <v>81</v>
      </c>
      <c r="C27" s="66"/>
      <c r="D27" s="66"/>
      <c r="E27" s="74">
        <f>F11</f>
        <v>1.0050909647942896</v>
      </c>
      <c r="F27" s="39"/>
    </row>
    <row r="28" spans="1:17" ht="13.5" x14ac:dyDescent="0.25">
      <c r="A28" s="71" t="s">
        <v>82</v>
      </c>
      <c r="B28" s="72" t="s">
        <v>83</v>
      </c>
      <c r="C28" s="66"/>
      <c r="D28" s="66"/>
      <c r="E28" s="73">
        <f>$C$8</f>
        <v>1</v>
      </c>
      <c r="F28" s="39"/>
    </row>
    <row r="29" spans="1:17" x14ac:dyDescent="0.2">
      <c r="A29" s="71" t="s">
        <v>84</v>
      </c>
      <c r="B29" s="72" t="s">
        <v>85</v>
      </c>
      <c r="C29" s="66"/>
      <c r="D29" s="66"/>
      <c r="E29" s="73">
        <f>E6</f>
        <v>462.10000000000008</v>
      </c>
      <c r="F29" s="39"/>
    </row>
    <row r="30" spans="1:17" ht="13.5" x14ac:dyDescent="0.25">
      <c r="A30" s="71" t="s">
        <v>86</v>
      </c>
      <c r="B30" s="72" t="s">
        <v>87</v>
      </c>
      <c r="C30" s="66"/>
      <c r="D30" s="75"/>
      <c r="E30" s="76">
        <f>C24</f>
        <v>1.0009170446377673</v>
      </c>
      <c r="F30" s="39"/>
    </row>
    <row r="31" spans="1:17" ht="16.5" x14ac:dyDescent="0.25">
      <c r="A31" s="77" t="s">
        <v>88</v>
      </c>
      <c r="B31" s="118">
        <f>IF(E26="","",ABS(E26*E27*E28*E29*E30))</f>
        <v>18107.403358770782</v>
      </c>
      <c r="C31" s="78" t="s">
        <v>89</v>
      </c>
      <c r="D31" s="79" t="s">
        <v>1</v>
      </c>
      <c r="E31" s="334">
        <f>B4</f>
        <v>43258.501388888886</v>
      </c>
      <c r="F31" s="335"/>
    </row>
    <row r="32" spans="1:17" ht="13.5" thickBot="1" x14ac:dyDescent="0.25">
      <c r="A32" s="81" t="s">
        <v>90</v>
      </c>
      <c r="B32" s="82">
        <f>IF(B31="","",B31/110)</f>
        <v>164.61275780700711</v>
      </c>
      <c r="C32" s="83" t="s">
        <v>91</v>
      </c>
      <c r="D32" s="119">
        <f>IF(B31="","",$B$31/4070)</f>
        <v>4.4489934542434355</v>
      </c>
      <c r="E32" s="84" t="s">
        <v>92</v>
      </c>
      <c r="F32" s="85" t="s">
        <v>93</v>
      </c>
    </row>
    <row r="33" spans="1:6" ht="13.5" customHeight="1" thickTop="1" x14ac:dyDescent="0.2">
      <c r="A33" s="86" t="s">
        <v>94</v>
      </c>
      <c r="B33" s="87" t="s">
        <v>51</v>
      </c>
      <c r="C33" s="88" t="s">
        <v>51</v>
      </c>
      <c r="F33" s="39"/>
    </row>
    <row r="34" spans="1:6" x14ac:dyDescent="0.2">
      <c r="A34" s="89" t="s">
        <v>95</v>
      </c>
      <c r="B34" s="125">
        <v>447.5</v>
      </c>
      <c r="C34" s="90"/>
      <c r="D34" s="338" t="s">
        <v>96</v>
      </c>
      <c r="E34" s="339"/>
      <c r="F34" s="340"/>
    </row>
    <row r="35" spans="1:6" x14ac:dyDescent="0.2">
      <c r="A35" s="91" t="s">
        <v>125</v>
      </c>
      <c r="B35" s="126">
        <v>43152.873611111114</v>
      </c>
      <c r="C35" s="92"/>
      <c r="D35" s="300"/>
      <c r="E35" s="301"/>
      <c r="F35" s="302"/>
    </row>
    <row r="36" spans="1:6" x14ac:dyDescent="0.2">
      <c r="A36" s="91" t="s">
        <v>97</v>
      </c>
      <c r="B36" s="120">
        <f>IF(B35="","",B35-(6/24))</f>
        <v>43152.623611111114</v>
      </c>
      <c r="C36" s="93"/>
      <c r="D36" s="344"/>
      <c r="E36" s="339"/>
      <c r="F36" s="340"/>
    </row>
    <row r="37" spans="1:6" ht="15.75" customHeight="1" thickBot="1" x14ac:dyDescent="0.25">
      <c r="A37" s="94" t="s">
        <v>98</v>
      </c>
      <c r="B37" s="121">
        <f>IF(B36="","",EXP(-0.693*(B4-B36)/73.831))</f>
        <v>0.37016711726924362</v>
      </c>
      <c r="C37" s="95" t="s">
        <v>51</v>
      </c>
      <c r="D37" s="96">
        <f>IF(B34="","",B34*B37*110)</f>
        <v>18221.476347578515</v>
      </c>
      <c r="E37" s="345" t="s">
        <v>99</v>
      </c>
      <c r="F37" s="346"/>
    </row>
    <row r="38" spans="1:6" ht="16.5" thickTop="1" x14ac:dyDescent="0.2">
      <c r="A38" s="86" t="s">
        <v>100</v>
      </c>
      <c r="D38" s="127">
        <v>18228</v>
      </c>
      <c r="E38" s="24" t="s">
        <v>101</v>
      </c>
      <c r="F38" s="39" t="s">
        <v>51</v>
      </c>
    </row>
    <row r="39" spans="1:6" ht="15.75" x14ac:dyDescent="0.2">
      <c r="A39" s="86" t="s">
        <v>102</v>
      </c>
      <c r="D39" s="59">
        <f>D37</f>
        <v>18221.476347578515</v>
      </c>
      <c r="E39" s="24" t="s">
        <v>101</v>
      </c>
      <c r="F39" s="39"/>
    </row>
    <row r="40" spans="1:6" ht="15.75" x14ac:dyDescent="0.2">
      <c r="A40" s="86" t="s">
        <v>103</v>
      </c>
      <c r="C40" s="97" t="s">
        <v>51</v>
      </c>
      <c r="D40" s="59">
        <f>B31</f>
        <v>18107.403358770782</v>
      </c>
      <c r="E40" s="24" t="s">
        <v>101</v>
      </c>
      <c r="F40" s="39"/>
    </row>
    <row r="41" spans="1:6" ht="15.75" x14ac:dyDescent="0.25">
      <c r="A41" s="45" t="s">
        <v>104</v>
      </c>
      <c r="D41" s="111">
        <f>IF(D40="","",100*(D40-D38)/D40)</f>
        <v>-0.66600737190075443</v>
      </c>
      <c r="E41" s="112" t="s">
        <v>105</v>
      </c>
      <c r="F41" s="135" t="str">
        <f>IF(D41="","",IF(ABS(D41)&lt;=2,"Acceptable","Not-Acceptable"))</f>
        <v>Acceptable</v>
      </c>
    </row>
    <row r="42" spans="1:6" ht="15.75" x14ac:dyDescent="0.25">
      <c r="A42" s="45" t="s">
        <v>106</v>
      </c>
      <c r="B42" s="98"/>
      <c r="C42" s="98"/>
      <c r="D42" s="113">
        <f>IF(D40="","",100*(D40-D39)/D40)</f>
        <v>-0.62997982950702258</v>
      </c>
      <c r="E42" s="112" t="s">
        <v>105</v>
      </c>
      <c r="F42" s="135" t="str">
        <f>IF(D42="","",IF(ABS(D42)&lt;=2,"Acceptable","Not-Acceptable"))</f>
        <v>Acceptable</v>
      </c>
    </row>
    <row r="43" spans="1:6" x14ac:dyDescent="0.2">
      <c r="A43" s="99"/>
      <c r="B43" s="98"/>
      <c r="C43" s="98"/>
      <c r="D43" s="98"/>
      <c r="F43" s="39"/>
    </row>
    <row r="44" spans="1:6" ht="13.5" thickBot="1" x14ac:dyDescent="0.25">
      <c r="A44" s="100" t="s">
        <v>51</v>
      </c>
      <c r="B44" s="129"/>
      <c r="C44" s="101"/>
      <c r="D44" s="101"/>
      <c r="E44" s="43"/>
      <c r="F44" s="44"/>
    </row>
    <row r="45" spans="1:6" ht="13.5" thickTop="1" x14ac:dyDescent="0.2">
      <c r="A45" s="98"/>
      <c r="B45" s="98"/>
      <c r="C45" s="98"/>
      <c r="D45" s="98"/>
    </row>
    <row r="46" spans="1:6" x14ac:dyDescent="0.2">
      <c r="A46" s="98" t="s">
        <v>107</v>
      </c>
      <c r="B46" s="342" t="s">
        <v>238</v>
      </c>
      <c r="C46" s="342"/>
      <c r="D46" s="98"/>
      <c r="E46" s="24" t="s">
        <v>108</v>
      </c>
      <c r="F46" s="128">
        <v>43258</v>
      </c>
    </row>
    <row r="47" spans="1:6" ht="14.25" x14ac:dyDescent="0.2">
      <c r="A47" s="102"/>
    </row>
    <row r="48" spans="1:6" ht="15" x14ac:dyDescent="0.25">
      <c r="A48" s="343"/>
      <c r="B48" s="343"/>
      <c r="C48" s="343"/>
      <c r="D48" s="343"/>
      <c r="E48" s="343"/>
    </row>
    <row r="49" spans="1:5" ht="15" x14ac:dyDescent="0.25">
      <c r="A49" s="343"/>
      <c r="B49" s="343"/>
      <c r="C49" s="343"/>
      <c r="D49" s="343"/>
      <c r="E49" s="343"/>
    </row>
    <row r="50" spans="1:5" ht="15" x14ac:dyDescent="0.25">
      <c r="A50" s="343"/>
      <c r="B50" s="343"/>
      <c r="C50" s="343"/>
      <c r="D50" s="343"/>
      <c r="E50" s="343"/>
    </row>
    <row r="51" spans="1:5" ht="15" x14ac:dyDescent="0.2">
      <c r="A51" s="341"/>
      <c r="B51" s="341"/>
      <c r="C51" s="341"/>
      <c r="D51" s="341"/>
      <c r="E51" s="341"/>
    </row>
    <row r="53" spans="1:5" ht="15" x14ac:dyDescent="0.25">
      <c r="A53" s="103"/>
    </row>
    <row r="54" spans="1:5" x14ac:dyDescent="0.2">
      <c r="A54" s="104"/>
    </row>
    <row r="55" spans="1:5" x14ac:dyDescent="0.2">
      <c r="A55" s="46"/>
    </row>
    <row r="56" spans="1:5" x14ac:dyDescent="0.2">
      <c r="A56" s="46"/>
    </row>
    <row r="57" spans="1:5" x14ac:dyDescent="0.2">
      <c r="A57" s="46"/>
    </row>
    <row r="58" spans="1:5" x14ac:dyDescent="0.2">
      <c r="A58" s="46"/>
    </row>
    <row r="59" spans="1:5" x14ac:dyDescent="0.2">
      <c r="A59" s="46"/>
    </row>
    <row r="65" spans="2:2" x14ac:dyDescent="0.2">
      <c r="B65" s="105"/>
    </row>
  </sheetData>
  <mergeCells count="17">
    <mergeCell ref="E31:F31"/>
    <mergeCell ref="D14:D19"/>
    <mergeCell ref="D34:F34"/>
    <mergeCell ref="A51:E51"/>
    <mergeCell ref="B46:C46"/>
    <mergeCell ref="A48:E48"/>
    <mergeCell ref="A49:E49"/>
    <mergeCell ref="A50:E50"/>
    <mergeCell ref="D36:F36"/>
    <mergeCell ref="E37:F37"/>
    <mergeCell ref="I12:O12"/>
    <mergeCell ref="E3:F3"/>
    <mergeCell ref="E4:F4"/>
    <mergeCell ref="A1:F1"/>
    <mergeCell ref="A2:F2"/>
    <mergeCell ref="B4:C4"/>
    <mergeCell ref="B12:C12"/>
  </mergeCells>
  <phoneticPr fontId="79" type="noConversion"/>
  <pageMargins left="0.70866141732283472" right="0.70866141732283472" top="0.74803149606299213" bottom="0.74803149606299213" header="0.31496062992125984" footer="0.31496062992125984"/>
  <pageSetup scale="92" fitToWidth="2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58"/>
  <sheetViews>
    <sheetView zoomScaleNormal="100" workbookViewId="0">
      <selection sqref="A1:XFD1048576"/>
    </sheetView>
  </sheetViews>
  <sheetFormatPr defaultRowHeight="12.75" x14ac:dyDescent="0.2"/>
  <cols>
    <col min="1" max="1" width="25.42578125" style="24" customWidth="1"/>
    <col min="2" max="2" width="13.85546875" style="24" customWidth="1"/>
    <col min="3" max="3" width="13.42578125" style="24" customWidth="1"/>
    <col min="4" max="4" width="13.140625" style="24" customWidth="1"/>
    <col min="5" max="5" width="10.7109375" style="24" customWidth="1"/>
    <col min="6" max="6" width="19.28515625" style="24" customWidth="1"/>
    <col min="7" max="7" width="9.140625" style="24"/>
    <col min="8" max="8" width="13" style="24" customWidth="1"/>
    <col min="9" max="17" width="9.140625" style="24"/>
    <col min="18" max="18" width="9.85546875" style="24" customWidth="1"/>
    <col min="19" max="16384" width="9.140625" style="24"/>
  </cols>
  <sheetData>
    <row r="1" spans="1:17" ht="14.25" x14ac:dyDescent="0.2">
      <c r="A1" s="329" t="s">
        <v>113</v>
      </c>
      <c r="B1" s="330"/>
      <c r="C1" s="330"/>
      <c r="D1" s="330"/>
      <c r="E1" s="330"/>
      <c r="F1" s="330"/>
    </row>
    <row r="2" spans="1:17" ht="18.75" customHeight="1" x14ac:dyDescent="0.2">
      <c r="A2" s="329" t="s">
        <v>111</v>
      </c>
      <c r="B2" s="329"/>
      <c r="C2" s="329"/>
      <c r="D2" s="329"/>
      <c r="E2" s="329"/>
      <c r="F2" s="329"/>
    </row>
    <row r="3" spans="1:17" ht="15" customHeight="1" x14ac:dyDescent="0.2">
      <c r="A3" s="25" t="s">
        <v>44</v>
      </c>
      <c r="B3" s="303">
        <v>40</v>
      </c>
      <c r="C3" s="304"/>
      <c r="D3" s="304" t="s">
        <v>45</v>
      </c>
      <c r="E3" s="327" t="s">
        <v>46</v>
      </c>
      <c r="F3" s="327"/>
    </row>
    <row r="4" spans="1:17" ht="15" customHeight="1" thickBot="1" x14ac:dyDescent="0.25">
      <c r="A4" s="26" t="s">
        <v>47</v>
      </c>
      <c r="B4" s="331">
        <v>43259.583333333336</v>
      </c>
      <c r="C4" s="331"/>
      <c r="D4" s="26" t="s">
        <v>109</v>
      </c>
      <c r="E4" s="328" t="s">
        <v>239</v>
      </c>
      <c r="F4" s="328"/>
    </row>
    <row r="5" spans="1:17" s="31" customFormat="1" ht="15" customHeight="1" thickTop="1" x14ac:dyDescent="0.2">
      <c r="A5" s="27" t="s">
        <v>48</v>
      </c>
      <c r="B5" s="28"/>
      <c r="C5" s="29"/>
      <c r="D5" s="30" t="s">
        <v>49</v>
      </c>
      <c r="E5" s="28" t="s">
        <v>50</v>
      </c>
      <c r="F5" s="293">
        <v>43235</v>
      </c>
      <c r="H5" s="31" t="s">
        <v>51</v>
      </c>
    </row>
    <row r="6" spans="1:17" s="31" customFormat="1" ht="15" customHeight="1" thickBot="1" x14ac:dyDescent="0.25">
      <c r="A6" s="32" t="s">
        <v>52</v>
      </c>
      <c r="B6" s="109">
        <f>4.621*(10^5)</f>
        <v>462100.00000000006</v>
      </c>
      <c r="C6" s="33" t="s">
        <v>53</v>
      </c>
      <c r="D6" s="34"/>
      <c r="E6" s="110">
        <f>$B$6*(10^6)/(10^9)</f>
        <v>462.10000000000008</v>
      </c>
      <c r="F6" s="35" t="s">
        <v>54</v>
      </c>
      <c r="H6" s="31" t="s">
        <v>51</v>
      </c>
    </row>
    <row r="7" spans="1:17" ht="15" customHeight="1" thickTop="1" x14ac:dyDescent="0.2">
      <c r="A7" s="36" t="s">
        <v>55</v>
      </c>
      <c r="B7" s="37"/>
      <c r="D7" s="38"/>
      <c r="E7" s="38"/>
      <c r="F7" s="39"/>
    </row>
    <row r="8" spans="1:17" ht="15" customHeight="1" x14ac:dyDescent="0.25">
      <c r="A8" s="36" t="s">
        <v>56</v>
      </c>
      <c r="B8" s="40" t="s">
        <v>51</v>
      </c>
      <c r="C8" s="114">
        <v>1</v>
      </c>
      <c r="D8" s="40" t="s">
        <v>57</v>
      </c>
      <c r="E8" s="38" t="s">
        <v>51</v>
      </c>
      <c r="F8" s="39"/>
    </row>
    <row r="9" spans="1:17" ht="15" customHeight="1" thickBot="1" x14ac:dyDescent="0.25">
      <c r="A9" s="41" t="s">
        <v>58</v>
      </c>
      <c r="B9" s="42"/>
      <c r="C9" s="43"/>
      <c r="D9" s="42"/>
      <c r="E9" s="42"/>
      <c r="F9" s="44"/>
    </row>
    <row r="10" spans="1:17" ht="13.5" thickTop="1" x14ac:dyDescent="0.2">
      <c r="A10" s="45" t="s">
        <v>59</v>
      </c>
      <c r="B10" s="46"/>
      <c r="C10" s="46"/>
      <c r="D10" s="46"/>
      <c r="E10" s="46"/>
      <c r="F10" s="39"/>
      <c r="I10" s="134" t="s">
        <v>110</v>
      </c>
      <c r="J10" s="134"/>
      <c r="K10" s="134"/>
    </row>
    <row r="11" spans="1:17" ht="14.25" thickBot="1" x14ac:dyDescent="0.3">
      <c r="A11" s="47" t="s">
        <v>60</v>
      </c>
      <c r="B11" s="122">
        <v>23.1</v>
      </c>
      <c r="C11" s="48"/>
      <c r="D11" s="122">
        <v>760.8</v>
      </c>
      <c r="E11" s="49" t="s">
        <v>61</v>
      </c>
      <c r="F11" s="107">
        <f>IF(B11="","",((273.15+$B$11)/295.15)*760/$D$11)</f>
        <v>1.0026714748582635</v>
      </c>
    </row>
    <row r="12" spans="1:17" ht="16.5" customHeight="1" thickTop="1" x14ac:dyDescent="0.2">
      <c r="A12" s="50" t="s">
        <v>51</v>
      </c>
      <c r="B12" s="332"/>
      <c r="C12" s="333"/>
      <c r="D12" s="46" t="s">
        <v>62</v>
      </c>
      <c r="E12" s="46"/>
      <c r="F12" s="51"/>
      <c r="I12" s="349" t="s">
        <v>63</v>
      </c>
      <c r="J12" s="350"/>
      <c r="K12" s="350"/>
      <c r="L12" s="350"/>
      <c r="M12" s="350"/>
      <c r="N12" s="350"/>
      <c r="O12" s="351"/>
      <c r="Q12" s="130" t="s">
        <v>64</v>
      </c>
    </row>
    <row r="13" spans="1:17" s="57" customFormat="1" ht="21" customHeight="1" x14ac:dyDescent="0.2">
      <c r="A13" s="52" t="s">
        <v>65</v>
      </c>
      <c r="B13" s="188"/>
      <c r="C13" s="54" t="s">
        <v>66</v>
      </c>
      <c r="D13" s="53" t="s">
        <v>67</v>
      </c>
      <c r="E13" s="55" t="s">
        <v>66</v>
      </c>
      <c r="F13" s="56"/>
      <c r="I13" s="130">
        <v>248</v>
      </c>
      <c r="J13" s="130">
        <v>249</v>
      </c>
      <c r="K13" s="130">
        <v>250</v>
      </c>
      <c r="L13" s="130">
        <v>251</v>
      </c>
      <c r="M13" s="130">
        <v>252</v>
      </c>
      <c r="N13" s="130">
        <v>253</v>
      </c>
      <c r="O13" s="130">
        <v>254</v>
      </c>
      <c r="Q13" s="130">
        <v>250</v>
      </c>
    </row>
    <row r="14" spans="1:17" ht="18" customHeight="1" x14ac:dyDescent="0.2">
      <c r="A14" s="58" t="s">
        <v>68</v>
      </c>
      <c r="B14" s="189" t="s">
        <v>51</v>
      </c>
      <c r="C14" s="190"/>
      <c r="D14" s="347">
        <v>250</v>
      </c>
      <c r="E14" s="132">
        <v>-86.710999999999999</v>
      </c>
      <c r="F14" s="39"/>
      <c r="I14" s="132">
        <v>-86.662000000000006</v>
      </c>
      <c r="J14" s="132">
        <v>-86.706999999999994</v>
      </c>
      <c r="K14" s="132">
        <v>-86.710999999999999</v>
      </c>
      <c r="L14" s="132">
        <v>-86.700999999999993</v>
      </c>
      <c r="M14" s="132">
        <v>-86.691000000000003</v>
      </c>
      <c r="N14" s="132">
        <v>-86.68</v>
      </c>
      <c r="O14" s="132">
        <v>-86.629000000000005</v>
      </c>
      <c r="Q14" s="132"/>
    </row>
    <row r="15" spans="1:17" ht="15.75" customHeight="1" x14ac:dyDescent="0.2">
      <c r="A15" s="123">
        <v>0</v>
      </c>
      <c r="B15" s="189"/>
      <c r="C15" s="191"/>
      <c r="D15" s="348"/>
      <c r="E15" s="132">
        <v>-86.709000000000003</v>
      </c>
      <c r="F15" s="39"/>
      <c r="I15" s="132">
        <v>-86.662999999999997</v>
      </c>
      <c r="J15" s="132">
        <v>-86.704999999999998</v>
      </c>
      <c r="K15" s="132">
        <v>-86.709000000000003</v>
      </c>
      <c r="L15" s="132">
        <v>-86.700999999999993</v>
      </c>
      <c r="M15" s="132">
        <v>-86.691999999999993</v>
      </c>
      <c r="N15" s="133">
        <v>-86.674000000000007</v>
      </c>
      <c r="O15" s="133">
        <v>-86.629000000000005</v>
      </c>
      <c r="Q15" s="132"/>
    </row>
    <row r="16" spans="1:17" ht="17.25" customHeight="1" x14ac:dyDescent="0.2">
      <c r="A16" s="58" t="s">
        <v>69</v>
      </c>
      <c r="B16" s="189"/>
      <c r="C16" s="191"/>
      <c r="D16" s="348"/>
      <c r="E16" s="132">
        <v>-86.71</v>
      </c>
      <c r="F16" s="39"/>
      <c r="I16" s="132">
        <v>-86.664000000000001</v>
      </c>
      <c r="J16" s="132">
        <v>-86.71</v>
      </c>
      <c r="K16" s="132">
        <v>-86.71</v>
      </c>
      <c r="L16" s="132">
        <v>-86.703999999999994</v>
      </c>
      <c r="M16" s="132">
        <v>-86.691999999999993</v>
      </c>
      <c r="N16" s="132">
        <v>-86.674000000000007</v>
      </c>
      <c r="O16" s="132">
        <v>-86.626000000000005</v>
      </c>
      <c r="Q16" s="132"/>
    </row>
    <row r="17" spans="1:17" ht="16.5" customHeight="1" x14ac:dyDescent="0.2">
      <c r="A17" s="123">
        <v>0</v>
      </c>
      <c r="B17" s="189"/>
      <c r="C17" s="191"/>
      <c r="D17" s="348"/>
      <c r="E17" s="132">
        <v>-86.712000000000003</v>
      </c>
      <c r="F17" s="39"/>
      <c r="I17" s="132">
        <v>-86.662999999999997</v>
      </c>
      <c r="J17" s="132">
        <v>-86.706999999999994</v>
      </c>
      <c r="K17" s="132">
        <v>-86.712000000000003</v>
      </c>
      <c r="L17" s="132">
        <v>-86.704999999999998</v>
      </c>
      <c r="M17" s="132">
        <v>-86.688999999999993</v>
      </c>
      <c r="N17" s="132">
        <v>-86.677000000000007</v>
      </c>
      <c r="O17" s="132">
        <v>-86.626000000000005</v>
      </c>
      <c r="Q17" s="132"/>
    </row>
    <row r="18" spans="1:17" ht="15" customHeight="1" x14ac:dyDescent="0.2">
      <c r="A18" s="60" t="s">
        <v>70</v>
      </c>
      <c r="B18" s="189"/>
      <c r="C18" s="191"/>
      <c r="D18" s="348"/>
      <c r="E18" s="132">
        <v>-86.712000000000003</v>
      </c>
      <c r="F18" s="39"/>
      <c r="I18" s="132">
        <v>-86.665000000000006</v>
      </c>
      <c r="J18" s="132">
        <v>-86.703000000000003</v>
      </c>
      <c r="K18" s="132">
        <v>-86.712000000000003</v>
      </c>
      <c r="L18" s="132">
        <v>-86.709000000000003</v>
      </c>
      <c r="M18" s="132">
        <v>-86.69</v>
      </c>
      <c r="N18" s="132"/>
      <c r="O18" s="132"/>
      <c r="Q18" s="132"/>
    </row>
    <row r="19" spans="1:17" ht="15" customHeight="1" x14ac:dyDescent="0.2">
      <c r="A19" s="117">
        <f>(A15+A17)/2</f>
        <v>0</v>
      </c>
      <c r="B19" s="189"/>
      <c r="C19" s="191"/>
      <c r="D19" s="348"/>
      <c r="E19" s="132">
        <v>-86.713999999999999</v>
      </c>
      <c r="F19" s="39"/>
      <c r="I19" s="132">
        <v>-86.665999999999997</v>
      </c>
      <c r="J19" s="132">
        <v>-86.704999999999998</v>
      </c>
      <c r="K19" s="132">
        <v>-86.713999999999999</v>
      </c>
      <c r="L19" s="132">
        <v>-86.709000000000003</v>
      </c>
      <c r="M19" s="132">
        <v>-86.688000000000002</v>
      </c>
      <c r="N19" s="132"/>
      <c r="O19" s="132"/>
      <c r="Q19" s="132"/>
    </row>
    <row r="20" spans="1:17" ht="15" customHeight="1" thickBot="1" x14ac:dyDescent="0.3">
      <c r="A20" s="61"/>
      <c r="B20" s="192"/>
      <c r="C20" s="63" t="s">
        <v>51</v>
      </c>
      <c r="D20" s="187" t="s">
        <v>71</v>
      </c>
      <c r="E20" s="116">
        <f>IF(E14="","",AVERAGE(E14:E19))</f>
        <v>-86.711333333333343</v>
      </c>
      <c r="F20" s="44"/>
      <c r="I20" s="132"/>
      <c r="J20" s="132"/>
      <c r="K20" s="132"/>
      <c r="L20" s="132"/>
      <c r="M20" s="132"/>
      <c r="N20" s="132"/>
      <c r="O20" s="132"/>
      <c r="Q20" s="132"/>
    </row>
    <row r="21" spans="1:17" ht="13.5" thickTop="1" x14ac:dyDescent="0.2">
      <c r="A21" s="64" t="s">
        <v>72</v>
      </c>
      <c r="F21" s="65" t="s">
        <v>71</v>
      </c>
      <c r="I21" s="132"/>
      <c r="J21" s="132"/>
      <c r="K21" s="132"/>
      <c r="L21" s="132"/>
      <c r="M21" s="132"/>
      <c r="N21" s="132"/>
      <c r="O21" s="132"/>
      <c r="Q21" s="132"/>
    </row>
    <row r="22" spans="1:17" ht="15" customHeight="1" x14ac:dyDescent="0.25">
      <c r="A22" s="66" t="s">
        <v>73</v>
      </c>
      <c r="B22" s="124">
        <v>-2699.7</v>
      </c>
      <c r="C22" s="124">
        <v>-2699.7</v>
      </c>
      <c r="D22" s="124">
        <v>-2699.6</v>
      </c>
      <c r="E22" s="67" t="s">
        <v>74</v>
      </c>
      <c r="F22" s="68">
        <f>IF(B22="","",AVERAGE(B22:D22))</f>
        <v>-2699.6666666666665</v>
      </c>
      <c r="I22" s="132"/>
      <c r="J22" s="132"/>
      <c r="K22" s="132"/>
      <c r="L22" s="132"/>
      <c r="M22" s="132"/>
      <c r="N22" s="132"/>
      <c r="O22" s="132"/>
      <c r="Q22" s="132"/>
    </row>
    <row r="23" spans="1:17" ht="15.75" customHeight="1" x14ac:dyDescent="0.25">
      <c r="A23" s="66" t="s">
        <v>75</v>
      </c>
      <c r="B23" s="124">
        <v>-2690.3</v>
      </c>
      <c r="C23" s="124">
        <v>-2693.2</v>
      </c>
      <c r="D23" s="124">
        <v>-2693.3</v>
      </c>
      <c r="E23" s="67" t="s">
        <v>74</v>
      </c>
      <c r="F23" s="68">
        <f>IF(B23="","",AVERAGE(B23:D23))</f>
        <v>-2692.2666666666669</v>
      </c>
      <c r="I23" s="132"/>
      <c r="J23" s="132"/>
      <c r="K23" s="132"/>
      <c r="L23" s="132"/>
      <c r="M23" s="132"/>
      <c r="N23" s="132"/>
      <c r="O23" s="132"/>
      <c r="Q23" s="132"/>
    </row>
    <row r="24" spans="1:17" ht="16.5" customHeight="1" thickBot="1" x14ac:dyDescent="0.25">
      <c r="A24" s="69" t="s">
        <v>76</v>
      </c>
      <c r="B24" s="43"/>
      <c r="C24" s="115">
        <f>IF(F22="","",1/((4/3)-((F22)/(3*F23))))</f>
        <v>1.0009170446377673</v>
      </c>
      <c r="D24" s="43" t="s">
        <v>51</v>
      </c>
      <c r="E24" s="43"/>
      <c r="F24" s="44"/>
      <c r="I24" s="132"/>
      <c r="J24" s="132"/>
      <c r="K24" s="132"/>
      <c r="L24" s="132"/>
      <c r="M24" s="132"/>
      <c r="N24" s="132"/>
      <c r="O24" s="132"/>
      <c r="Q24" s="132"/>
    </row>
    <row r="25" spans="1:17" ht="18" customHeight="1" thickTop="1" x14ac:dyDescent="0.3">
      <c r="A25" s="70" t="s">
        <v>77</v>
      </c>
      <c r="F25" s="39"/>
      <c r="I25" s="131">
        <f t="shared" ref="I25:O25" si="0">IF(I14="","",AVERAGE(I14:I24))</f>
        <v>-86.663833333333329</v>
      </c>
      <c r="J25" s="131">
        <f t="shared" si="0"/>
        <v>-86.706166666666661</v>
      </c>
      <c r="K25" s="131">
        <f t="shared" si="0"/>
        <v>-86.711333333333343</v>
      </c>
      <c r="L25" s="131">
        <f t="shared" si="0"/>
        <v>-86.70483333333334</v>
      </c>
      <c r="M25" s="131">
        <f t="shared" si="0"/>
        <v>-86.690333333333342</v>
      </c>
      <c r="N25" s="131">
        <f t="shared" si="0"/>
        <v>-86.67625000000001</v>
      </c>
      <c r="O25" s="131">
        <f t="shared" si="0"/>
        <v>-86.627499999999998</v>
      </c>
      <c r="Q25" s="131" t="str">
        <f>IF(Q14="","",AVERAGE(Q14:Q24))</f>
        <v/>
      </c>
    </row>
    <row r="26" spans="1:17" x14ac:dyDescent="0.2">
      <c r="A26" s="71" t="s">
        <v>78</v>
      </c>
      <c r="B26" s="72" t="s">
        <v>79</v>
      </c>
      <c r="C26" s="66"/>
      <c r="D26" s="66"/>
      <c r="E26" s="73">
        <f>IF(E20="","",$E$20-$A$19)</f>
        <v>-86.711333333333343</v>
      </c>
      <c r="F26" s="39"/>
    </row>
    <row r="27" spans="1:17" ht="13.5" x14ac:dyDescent="0.25">
      <c r="A27" s="71" t="s">
        <v>80</v>
      </c>
      <c r="B27" s="72" t="s">
        <v>81</v>
      </c>
      <c r="C27" s="66"/>
      <c r="D27" s="66"/>
      <c r="E27" s="74">
        <f>F11</f>
        <v>1.0026714748582635</v>
      </c>
      <c r="F27" s="39"/>
    </row>
    <row r="28" spans="1:17" ht="13.5" x14ac:dyDescent="0.25">
      <c r="A28" s="71" t="s">
        <v>82</v>
      </c>
      <c r="B28" s="72" t="s">
        <v>83</v>
      </c>
      <c r="C28" s="66"/>
      <c r="D28" s="66"/>
      <c r="E28" s="73">
        <f>$C$8</f>
        <v>1</v>
      </c>
      <c r="F28" s="39"/>
    </row>
    <row r="29" spans="1:17" x14ac:dyDescent="0.2">
      <c r="A29" s="71" t="s">
        <v>84</v>
      </c>
      <c r="B29" s="72" t="s">
        <v>85</v>
      </c>
      <c r="C29" s="66"/>
      <c r="D29" s="66"/>
      <c r="E29" s="73">
        <f>E6</f>
        <v>462.10000000000008</v>
      </c>
      <c r="F29" s="39"/>
    </row>
    <row r="30" spans="1:17" ht="13.5" x14ac:dyDescent="0.25">
      <c r="A30" s="71" t="s">
        <v>86</v>
      </c>
      <c r="B30" s="72" t="s">
        <v>87</v>
      </c>
      <c r="C30" s="66"/>
      <c r="D30" s="75"/>
      <c r="E30" s="76">
        <f>C24</f>
        <v>1.0009170446377673</v>
      </c>
      <c r="F30" s="39"/>
    </row>
    <row r="31" spans="1:17" ht="16.5" x14ac:dyDescent="0.25">
      <c r="A31" s="77" t="s">
        <v>88</v>
      </c>
      <c r="B31" s="118">
        <f>IF(E26="","",ABS(E26*E27*E28*E29*E30))</f>
        <v>40213.194787434397</v>
      </c>
      <c r="C31" s="78" t="s">
        <v>89</v>
      </c>
      <c r="D31" s="79" t="s">
        <v>1</v>
      </c>
      <c r="E31" s="334">
        <f>B4</f>
        <v>43259.583333333336</v>
      </c>
      <c r="F31" s="335"/>
      <c r="I31" s="80"/>
      <c r="J31" s="80"/>
      <c r="K31" s="80"/>
    </row>
    <row r="32" spans="1:17" ht="13.5" thickBot="1" x14ac:dyDescent="0.25">
      <c r="A32" s="81" t="s">
        <v>90</v>
      </c>
      <c r="B32" s="82">
        <f>IF(B31="","",B31/110)</f>
        <v>365.57449806758541</v>
      </c>
      <c r="C32" s="83" t="s">
        <v>91</v>
      </c>
      <c r="D32" s="119">
        <f>IF(B31="","",$B$31/4070)</f>
        <v>9.8803918396644708</v>
      </c>
      <c r="E32" s="84" t="s">
        <v>92</v>
      </c>
      <c r="F32" s="85" t="s">
        <v>93</v>
      </c>
      <c r="I32" s="80"/>
      <c r="J32" s="80"/>
      <c r="K32" s="80"/>
    </row>
    <row r="33" spans="1:11" ht="13.5" customHeight="1" thickTop="1" x14ac:dyDescent="0.2">
      <c r="A33" s="86" t="s">
        <v>94</v>
      </c>
      <c r="B33" s="87" t="s">
        <v>51</v>
      </c>
      <c r="C33" s="88" t="s">
        <v>51</v>
      </c>
      <c r="F33" s="39"/>
    </row>
    <row r="34" spans="1:11" x14ac:dyDescent="0.2">
      <c r="A34" s="89" t="s">
        <v>95</v>
      </c>
      <c r="B34" s="125">
        <v>426.3</v>
      </c>
      <c r="C34" s="90"/>
      <c r="D34" s="338" t="s">
        <v>96</v>
      </c>
      <c r="E34" s="339"/>
      <c r="F34" s="340"/>
      <c r="I34" s="59"/>
      <c r="J34" s="59"/>
      <c r="K34" s="59"/>
    </row>
    <row r="35" spans="1:11" x14ac:dyDescent="0.2">
      <c r="A35" s="91" t="s">
        <v>125</v>
      </c>
      <c r="B35" s="126">
        <v>43244</v>
      </c>
      <c r="C35" s="92"/>
      <c r="D35" s="300"/>
      <c r="E35" s="301"/>
      <c r="F35" s="302"/>
      <c r="I35" s="59"/>
      <c r="J35" s="59"/>
      <c r="K35" s="59"/>
    </row>
    <row r="36" spans="1:11" x14ac:dyDescent="0.2">
      <c r="A36" s="91" t="s">
        <v>97</v>
      </c>
      <c r="B36" s="120">
        <f>IF(B35="","",B35-(5/24))</f>
        <v>43243.791666666664</v>
      </c>
      <c r="C36" s="93"/>
      <c r="D36" s="344"/>
      <c r="E36" s="339"/>
      <c r="F36" s="340"/>
    </row>
    <row r="37" spans="1:11" ht="15.75" customHeight="1" thickBot="1" x14ac:dyDescent="0.25">
      <c r="A37" s="94" t="s">
        <v>98</v>
      </c>
      <c r="B37" s="121">
        <f>IF(B36="","",EXP(-0.693*(B4-B36)/73.831))</f>
        <v>0.86223679751478643</v>
      </c>
      <c r="C37" s="95" t="s">
        <v>51</v>
      </c>
      <c r="D37" s="96">
        <f>IF(B37="","",B34*B37*110)</f>
        <v>40432.870145860885</v>
      </c>
      <c r="E37" s="345" t="s">
        <v>99</v>
      </c>
      <c r="F37" s="346"/>
    </row>
    <row r="38" spans="1:11" ht="16.5" thickTop="1" x14ac:dyDescent="0.2">
      <c r="A38" s="86" t="s">
        <v>100</v>
      </c>
      <c r="D38" s="127">
        <v>40437</v>
      </c>
      <c r="E38" s="24" t="s">
        <v>101</v>
      </c>
      <c r="F38" s="39" t="s">
        <v>51</v>
      </c>
    </row>
    <row r="39" spans="1:11" ht="15.75" x14ac:dyDescent="0.2">
      <c r="A39" s="86" t="s">
        <v>102</v>
      </c>
      <c r="D39" s="59">
        <f>D37</f>
        <v>40432.870145860885</v>
      </c>
      <c r="E39" s="24" t="s">
        <v>101</v>
      </c>
      <c r="F39" s="39"/>
    </row>
    <row r="40" spans="1:11" ht="15.75" x14ac:dyDescent="0.2">
      <c r="A40" s="86" t="s">
        <v>103</v>
      </c>
      <c r="C40" s="97" t="s">
        <v>51</v>
      </c>
      <c r="D40" s="59">
        <f>B31</f>
        <v>40213.194787434397</v>
      </c>
      <c r="E40" s="24" t="s">
        <v>101</v>
      </c>
      <c r="F40" s="39"/>
    </row>
    <row r="41" spans="1:11" ht="15.75" x14ac:dyDescent="0.25">
      <c r="A41" s="45" t="s">
        <v>104</v>
      </c>
      <c r="D41" s="111">
        <f>IF(D40="","",100*(D40-D38)/D40)</f>
        <v>-0.55654670997574307</v>
      </c>
      <c r="E41" s="112" t="s">
        <v>105</v>
      </c>
      <c r="F41" s="135" t="str">
        <f>IF(D41="","",IF(ABS(D41)&lt;=2,"Acceptable","Not-Acceptable"))</f>
        <v>Acceptable</v>
      </c>
    </row>
    <row r="42" spans="1:11" ht="15.75" x14ac:dyDescent="0.25">
      <c r="A42" s="45" t="s">
        <v>106</v>
      </c>
      <c r="B42" s="98"/>
      <c r="C42" s="98"/>
      <c r="D42" s="113">
        <f>IF(D40="","",100*(D40-D39)/D40)</f>
        <v>-0.5462768118466701</v>
      </c>
      <c r="E42" s="112" t="s">
        <v>105</v>
      </c>
      <c r="F42" s="135" t="str">
        <f>IF(D42="","",IF(ABS(D42)&lt;=2,"Acceptable","Not-Acceptable"))</f>
        <v>Acceptable</v>
      </c>
    </row>
    <row r="43" spans="1:11" x14ac:dyDescent="0.2">
      <c r="A43" s="99"/>
      <c r="B43" s="98"/>
      <c r="C43" s="98"/>
      <c r="D43" s="98"/>
      <c r="F43" s="39"/>
    </row>
    <row r="44" spans="1:11" ht="13.5" thickBot="1" x14ac:dyDescent="0.25">
      <c r="A44" s="100" t="s">
        <v>51</v>
      </c>
      <c r="B44" s="129"/>
      <c r="C44" s="101"/>
      <c r="D44" s="101"/>
      <c r="E44" s="43"/>
      <c r="F44" s="44"/>
    </row>
    <row r="45" spans="1:11" ht="13.5" thickTop="1" x14ac:dyDescent="0.2">
      <c r="A45" s="98"/>
      <c r="B45" s="98"/>
      <c r="C45" s="98"/>
      <c r="D45" s="98"/>
    </row>
    <row r="46" spans="1:11" x14ac:dyDescent="0.2">
      <c r="A46" s="98" t="s">
        <v>107</v>
      </c>
      <c r="B46" s="342" t="s">
        <v>240</v>
      </c>
      <c r="C46" s="342"/>
      <c r="D46" s="98"/>
      <c r="E46" s="24" t="s">
        <v>108</v>
      </c>
      <c r="F46" s="128">
        <v>43259</v>
      </c>
    </row>
    <row r="47" spans="1:11" ht="14.25" x14ac:dyDescent="0.2">
      <c r="A47" s="102"/>
    </row>
    <row r="48" spans="1:11" x14ac:dyDescent="0.2">
      <c r="A48" s="46"/>
    </row>
    <row r="49" spans="1:2" x14ac:dyDescent="0.2">
      <c r="A49" s="46"/>
    </row>
    <row r="50" spans="1:2" x14ac:dyDescent="0.2">
      <c r="A50" s="46"/>
    </row>
    <row r="51" spans="1:2" x14ac:dyDescent="0.2">
      <c r="A51" s="46"/>
    </row>
    <row r="52" spans="1:2" x14ac:dyDescent="0.2">
      <c r="A52" s="46"/>
    </row>
    <row r="58" spans="1:2" x14ac:dyDescent="0.2">
      <c r="B58" s="105"/>
    </row>
  </sheetData>
  <mergeCells count="13">
    <mergeCell ref="I12:O12"/>
    <mergeCell ref="A1:F1"/>
    <mergeCell ref="A2:F2"/>
    <mergeCell ref="B4:C4"/>
    <mergeCell ref="B12:C12"/>
    <mergeCell ref="B46:C46"/>
    <mergeCell ref="E3:F3"/>
    <mergeCell ref="E4:F4"/>
    <mergeCell ref="D34:F34"/>
    <mergeCell ref="D36:F36"/>
    <mergeCell ref="E37:F37"/>
    <mergeCell ref="E31:F31"/>
    <mergeCell ref="D14:D19"/>
  </mergeCells>
  <phoneticPr fontId="79" type="noConversion"/>
  <pageMargins left="0.70866141732283472" right="0.70866141732283472" top="0.74803149606299213" bottom="0.74803149606299213" header="0.31496062992125984" footer="0.31496062992125984"/>
  <pageSetup scale="96" fitToWidth="2" orientation="portrait" r:id="rId1"/>
  <colBreaks count="1" manualBreakCount="1">
    <brk id="6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4"/>
  <sheetViews>
    <sheetView workbookViewId="0">
      <selection sqref="A1:XFD1048576"/>
    </sheetView>
  </sheetViews>
  <sheetFormatPr defaultRowHeight="16.5" x14ac:dyDescent="0.25"/>
  <cols>
    <col min="1" max="1" width="14.85546875" style="287" customWidth="1"/>
    <col min="2" max="2" width="6" style="287" customWidth="1"/>
    <col min="3" max="3" width="8.85546875" style="287" customWidth="1"/>
    <col min="4" max="4" width="14.7109375" style="287" customWidth="1"/>
    <col min="5" max="5" width="7.7109375" style="287" customWidth="1"/>
    <col min="6" max="6" width="14.7109375" style="287" customWidth="1"/>
    <col min="7" max="7" width="2.7109375" style="287" customWidth="1"/>
    <col min="8" max="8" width="14.7109375" style="287" customWidth="1"/>
    <col min="9" max="9" width="16.85546875" style="287" customWidth="1"/>
    <col min="10" max="16384" width="9.140625" style="266"/>
  </cols>
  <sheetData>
    <row r="1" spans="1:9" ht="20.25" x14ac:dyDescent="0.25">
      <c r="A1" s="324" t="s">
        <v>199</v>
      </c>
      <c r="B1" s="324"/>
      <c r="C1" s="324"/>
      <c r="D1" s="324"/>
      <c r="E1" s="324"/>
      <c r="F1" s="324"/>
      <c r="G1" s="324"/>
      <c r="H1" s="324"/>
      <c r="I1" s="324"/>
    </row>
    <row r="4" spans="1:9" x14ac:dyDescent="0.25">
      <c r="A4" s="267" t="s">
        <v>173</v>
      </c>
      <c r="B4" s="353">
        <v>43259</v>
      </c>
      <c r="C4" s="315"/>
      <c r="D4" s="267"/>
      <c r="E4" s="267"/>
      <c r="F4" s="317" t="s">
        <v>126</v>
      </c>
      <c r="G4" s="317"/>
      <c r="H4" s="317"/>
      <c r="I4" s="296">
        <v>40</v>
      </c>
    </row>
    <row r="5" spans="1:9" x14ac:dyDescent="0.25">
      <c r="A5" s="267"/>
      <c r="B5" s="267"/>
      <c r="C5" s="267"/>
      <c r="D5" s="267"/>
      <c r="E5" s="267"/>
      <c r="F5" s="267"/>
      <c r="G5" s="267"/>
      <c r="H5" s="267"/>
      <c r="I5" s="267"/>
    </row>
    <row r="6" spans="1:9" ht="18.75" x14ac:dyDescent="0.25">
      <c r="A6" s="268" t="s">
        <v>174</v>
      </c>
      <c r="B6" s="267"/>
      <c r="C6" s="267"/>
      <c r="D6" s="267"/>
      <c r="E6" s="267"/>
      <c r="F6" s="267"/>
      <c r="G6" s="267"/>
      <c r="H6" s="267"/>
      <c r="I6" s="267"/>
    </row>
    <row r="7" spans="1:9" x14ac:dyDescent="0.25">
      <c r="A7" s="267" t="s">
        <v>175</v>
      </c>
      <c r="B7" s="315" t="s">
        <v>233</v>
      </c>
      <c r="C7" s="315"/>
      <c r="D7" s="267"/>
      <c r="E7" s="267"/>
      <c r="F7" s="317" t="s">
        <v>224</v>
      </c>
      <c r="G7" s="317"/>
      <c r="H7" s="317"/>
      <c r="I7" s="292">
        <v>43244</v>
      </c>
    </row>
    <row r="8" spans="1:9" x14ac:dyDescent="0.25">
      <c r="A8" s="267" t="s">
        <v>176</v>
      </c>
      <c r="B8" s="316" t="s">
        <v>234</v>
      </c>
      <c r="C8" s="316"/>
      <c r="D8" s="267"/>
      <c r="E8" s="267"/>
      <c r="F8" s="317" t="s">
        <v>225</v>
      </c>
      <c r="G8" s="317"/>
      <c r="H8" s="317"/>
      <c r="I8" s="370" t="s">
        <v>235</v>
      </c>
    </row>
    <row r="9" spans="1:9" x14ac:dyDescent="0.25">
      <c r="A9" s="267"/>
      <c r="B9" s="267"/>
      <c r="C9" s="267"/>
      <c r="D9" s="267"/>
      <c r="E9" s="267"/>
      <c r="F9" s="267"/>
      <c r="G9" s="267"/>
      <c r="H9" s="267"/>
      <c r="I9" s="267"/>
    </row>
    <row r="10" spans="1:9" x14ac:dyDescent="0.25">
      <c r="A10" s="267"/>
      <c r="B10" s="267"/>
      <c r="C10" s="267"/>
      <c r="D10" s="267"/>
      <c r="E10" s="267"/>
      <c r="F10" s="267"/>
      <c r="G10" s="267"/>
      <c r="H10" s="267"/>
      <c r="I10" s="267"/>
    </row>
    <row r="11" spans="1:9" ht="21.75" customHeight="1" x14ac:dyDescent="0.25">
      <c r="A11" s="318" t="s">
        <v>200</v>
      </c>
      <c r="B11" s="319"/>
      <c r="C11" s="319"/>
      <c r="D11" s="319"/>
      <c r="E11" s="319"/>
      <c r="F11" s="319"/>
      <c r="G11" s="319"/>
      <c r="H11" s="319"/>
      <c r="I11" s="320"/>
    </row>
    <row r="12" spans="1:9" ht="15" x14ac:dyDescent="0.25">
      <c r="A12" s="321" t="s">
        <v>178</v>
      </c>
      <c r="B12" s="322"/>
      <c r="C12" s="322"/>
      <c r="D12" s="322"/>
      <c r="E12" s="322"/>
      <c r="F12" s="322"/>
      <c r="G12" s="322"/>
      <c r="H12" s="322"/>
      <c r="I12" s="323"/>
    </row>
    <row r="13" spans="1:9" x14ac:dyDescent="0.25">
      <c r="A13" s="269"/>
      <c r="B13" s="270"/>
      <c r="C13" s="270"/>
      <c r="D13" s="270"/>
      <c r="E13" s="270"/>
      <c r="F13" s="270"/>
      <c r="G13" s="270"/>
      <c r="H13" s="270"/>
      <c r="I13" s="271"/>
    </row>
    <row r="14" spans="1:9" x14ac:dyDescent="0.25">
      <c r="A14" s="272" t="s">
        <v>179</v>
      </c>
      <c r="B14" s="270"/>
      <c r="C14" s="270"/>
      <c r="D14" s="270"/>
      <c r="E14" s="270"/>
      <c r="F14" s="270"/>
      <c r="G14" s="270"/>
      <c r="H14" s="270"/>
      <c r="I14" s="271"/>
    </row>
    <row r="15" spans="1:9" x14ac:dyDescent="0.25">
      <c r="A15" s="273" t="s">
        <v>180</v>
      </c>
      <c r="B15" s="315" t="s">
        <v>230</v>
      </c>
      <c r="C15" s="315"/>
      <c r="D15" s="270"/>
      <c r="E15" s="274" t="s">
        <v>181</v>
      </c>
      <c r="F15" s="296">
        <v>1543</v>
      </c>
      <c r="G15" s="270"/>
      <c r="H15" s="270"/>
      <c r="I15" s="271"/>
    </row>
    <row r="16" spans="1:9" x14ac:dyDescent="0.25">
      <c r="A16" s="275"/>
      <c r="B16" s="276"/>
      <c r="C16" s="276"/>
      <c r="D16" s="276"/>
      <c r="E16" s="276"/>
      <c r="F16" s="276"/>
      <c r="G16" s="276"/>
      <c r="H16" s="276"/>
      <c r="I16" s="277"/>
    </row>
    <row r="17" spans="1:9" ht="33" x14ac:dyDescent="0.25">
      <c r="A17" s="275"/>
      <c r="B17" s="276"/>
      <c r="C17" s="276"/>
      <c r="D17" s="276"/>
      <c r="E17" s="276"/>
      <c r="F17" s="280" t="s">
        <v>187</v>
      </c>
      <c r="G17" s="280"/>
      <c r="H17" s="281" t="s">
        <v>222</v>
      </c>
      <c r="I17" s="279" t="s">
        <v>183</v>
      </c>
    </row>
    <row r="18" spans="1:9" ht="21.75" customHeight="1" x14ac:dyDescent="0.25">
      <c r="A18" s="278" t="s">
        <v>201</v>
      </c>
      <c r="B18" s="276"/>
      <c r="C18" s="276"/>
      <c r="D18" s="276"/>
      <c r="E18" s="276"/>
      <c r="F18" s="276"/>
      <c r="G18" s="276"/>
      <c r="H18" s="276"/>
      <c r="I18" s="277"/>
    </row>
    <row r="19" spans="1:9" ht="21.75" customHeight="1" x14ac:dyDescent="0.25">
      <c r="A19" s="307" t="s">
        <v>202</v>
      </c>
      <c r="B19" s="308"/>
      <c r="C19" s="308"/>
      <c r="D19" s="308"/>
      <c r="E19" s="308"/>
      <c r="F19" s="308"/>
      <c r="G19" s="297"/>
      <c r="H19" s="299">
        <v>2.7</v>
      </c>
      <c r="I19" s="277"/>
    </row>
    <row r="20" spans="1:9" ht="21.75" customHeight="1" x14ac:dyDescent="0.25">
      <c r="A20" s="307" t="s">
        <v>203</v>
      </c>
      <c r="B20" s="308"/>
      <c r="C20" s="308"/>
      <c r="D20" s="308"/>
      <c r="E20" s="308"/>
      <c r="F20" s="308"/>
      <c r="G20" s="297"/>
      <c r="H20" s="282">
        <v>0.2</v>
      </c>
      <c r="I20" s="277"/>
    </row>
    <row r="21" spans="1:9" ht="21.75" customHeight="1" x14ac:dyDescent="0.25">
      <c r="A21" s="298"/>
      <c r="B21" s="297"/>
      <c r="C21" s="297"/>
      <c r="D21" s="297"/>
      <c r="E21" s="297"/>
      <c r="F21" s="297"/>
      <c r="G21" s="297"/>
      <c r="H21" s="290"/>
      <c r="I21" s="277"/>
    </row>
    <row r="22" spans="1:9" ht="21.75" customHeight="1" x14ac:dyDescent="0.25">
      <c r="A22" s="278" t="s">
        <v>204</v>
      </c>
      <c r="B22" s="297"/>
      <c r="C22" s="297"/>
      <c r="D22" s="297"/>
      <c r="E22" s="297"/>
      <c r="F22" s="297"/>
      <c r="G22" s="297"/>
      <c r="H22" s="291"/>
      <c r="I22" s="277"/>
    </row>
    <row r="23" spans="1:9" ht="21.75" customHeight="1" x14ac:dyDescent="0.25">
      <c r="A23" s="307" t="s">
        <v>205</v>
      </c>
      <c r="B23" s="308"/>
      <c r="C23" s="308"/>
      <c r="D23" s="308"/>
      <c r="E23" s="308"/>
      <c r="F23" s="308"/>
      <c r="G23" s="297"/>
      <c r="H23" s="299">
        <v>7.0000000000000007E-2</v>
      </c>
      <c r="I23" s="277"/>
    </row>
    <row r="24" spans="1:9" ht="21.75" customHeight="1" x14ac:dyDescent="0.3">
      <c r="A24" s="307" t="s">
        <v>206</v>
      </c>
      <c r="B24" s="308"/>
      <c r="C24" s="308"/>
      <c r="D24" s="308"/>
      <c r="E24" s="308"/>
      <c r="F24" s="308"/>
      <c r="G24" s="297"/>
      <c r="H24" s="299">
        <v>0.05</v>
      </c>
      <c r="I24" s="283"/>
    </row>
    <row r="25" spans="1:9" ht="21.75" customHeight="1" x14ac:dyDescent="0.3">
      <c r="A25" s="307" t="s">
        <v>207</v>
      </c>
      <c r="B25" s="308"/>
      <c r="C25" s="308"/>
      <c r="D25" s="308"/>
      <c r="E25" s="308"/>
      <c r="F25" s="308"/>
      <c r="G25" s="297"/>
      <c r="H25" s="299">
        <v>0.06</v>
      </c>
      <c r="I25" s="283"/>
    </row>
    <row r="26" spans="1:9" ht="21" customHeight="1" x14ac:dyDescent="0.3">
      <c r="A26" s="307" t="s">
        <v>208</v>
      </c>
      <c r="B26" s="308"/>
      <c r="C26" s="308"/>
      <c r="D26" s="308"/>
      <c r="E26" s="308"/>
      <c r="F26" s="308"/>
      <c r="G26" s="297"/>
      <c r="H26" s="282">
        <v>0.13</v>
      </c>
      <c r="I26" s="283"/>
    </row>
    <row r="27" spans="1:9" ht="21" customHeight="1" x14ac:dyDescent="0.3">
      <c r="A27" s="310"/>
      <c r="B27" s="311"/>
      <c r="C27" s="311"/>
      <c r="D27" s="311"/>
      <c r="E27" s="311"/>
      <c r="F27" s="311"/>
      <c r="G27" s="297"/>
      <c r="H27" s="282">
        <v>0.3</v>
      </c>
      <c r="I27" s="283"/>
    </row>
    <row r="28" spans="1:9" ht="20.25" customHeight="1" x14ac:dyDescent="0.3">
      <c r="A28" s="310"/>
      <c r="B28" s="311"/>
      <c r="C28" s="311"/>
      <c r="D28" s="311"/>
      <c r="E28" s="311"/>
      <c r="F28" s="311"/>
      <c r="G28" s="297"/>
      <c r="H28" s="282">
        <v>1.1000000000000001</v>
      </c>
      <c r="I28" s="283"/>
    </row>
    <row r="29" spans="1:9" ht="21.75" customHeight="1" x14ac:dyDescent="0.25">
      <c r="A29" s="275"/>
      <c r="B29" s="276"/>
      <c r="C29" s="276"/>
      <c r="D29" s="276"/>
      <c r="E29" s="276"/>
      <c r="F29" s="276"/>
      <c r="G29" s="276"/>
      <c r="H29" s="276"/>
      <c r="I29" s="277"/>
    </row>
    <row r="30" spans="1:9" x14ac:dyDescent="0.25">
      <c r="A30" s="278" t="s">
        <v>209</v>
      </c>
      <c r="B30" s="276"/>
      <c r="C30" s="276"/>
      <c r="D30" s="276"/>
      <c r="E30" s="276"/>
      <c r="F30" s="276"/>
      <c r="G30" s="276"/>
      <c r="H30" s="276"/>
      <c r="I30" s="277"/>
    </row>
    <row r="31" spans="1:9" ht="21" customHeight="1" x14ac:dyDescent="0.25">
      <c r="A31" s="312" t="s">
        <v>223</v>
      </c>
      <c r="B31" s="313"/>
      <c r="C31" s="313"/>
      <c r="D31" s="313"/>
      <c r="E31" s="313"/>
      <c r="F31" s="313"/>
      <c r="G31" s="284"/>
      <c r="H31" s="284"/>
      <c r="I31" s="285"/>
    </row>
    <row r="32" spans="1:9" ht="21" customHeight="1" x14ac:dyDescent="0.25">
      <c r="A32" s="286"/>
      <c r="B32" s="286"/>
      <c r="C32" s="286"/>
      <c r="D32" s="286"/>
      <c r="E32" s="286"/>
      <c r="F32" s="286"/>
    </row>
    <row r="34" spans="1:9" x14ac:dyDescent="0.25">
      <c r="A34" s="288" t="s">
        <v>197</v>
      </c>
      <c r="C34" s="309" t="s">
        <v>240</v>
      </c>
      <c r="D34" s="309"/>
      <c r="E34" s="276"/>
      <c r="G34" s="289" t="s">
        <v>198</v>
      </c>
      <c r="H34" s="352">
        <v>43259</v>
      </c>
      <c r="I34" s="352"/>
    </row>
  </sheetData>
  <mergeCells count="21">
    <mergeCell ref="A1:I1"/>
    <mergeCell ref="B4:C4"/>
    <mergeCell ref="F4:H4"/>
    <mergeCell ref="B7:C7"/>
    <mergeCell ref="F7:H7"/>
    <mergeCell ref="H34:I34"/>
    <mergeCell ref="B8:C8"/>
    <mergeCell ref="B15:C15"/>
    <mergeCell ref="A19:F19"/>
    <mergeCell ref="A20:F20"/>
    <mergeCell ref="A23:F23"/>
    <mergeCell ref="F8:H8"/>
    <mergeCell ref="A11:I11"/>
    <mergeCell ref="A12:I12"/>
    <mergeCell ref="C34:D34"/>
    <mergeCell ref="A28:F28"/>
    <mergeCell ref="A31:F31"/>
    <mergeCell ref="A24:F24"/>
    <mergeCell ref="A25:F25"/>
    <mergeCell ref="A26:F26"/>
    <mergeCell ref="A27:F27"/>
  </mergeCells>
  <phoneticPr fontId="79" type="noConversion"/>
  <pageMargins left="0.25" right="0.25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8</xdr:col>
                    <xdr:colOff>38100</xdr:colOff>
                    <xdr:row>18</xdr:row>
                    <xdr:rowOff>38100</xdr:rowOff>
                  </from>
                  <to>
                    <xdr:col>8</xdr:col>
                    <xdr:colOff>342900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8</xdr:col>
                    <xdr:colOff>657225</xdr:colOff>
                    <xdr:row>18</xdr:row>
                    <xdr:rowOff>38100</xdr:rowOff>
                  </from>
                  <to>
                    <xdr:col>8</xdr:col>
                    <xdr:colOff>962025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8</xdr:col>
                    <xdr:colOff>38100</xdr:colOff>
                    <xdr:row>19</xdr:row>
                    <xdr:rowOff>38100</xdr:rowOff>
                  </from>
                  <to>
                    <xdr:col>8</xdr:col>
                    <xdr:colOff>342900</xdr:colOff>
                    <xdr:row>19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8</xdr:col>
                    <xdr:colOff>657225</xdr:colOff>
                    <xdr:row>19</xdr:row>
                    <xdr:rowOff>38100</xdr:rowOff>
                  </from>
                  <to>
                    <xdr:col>8</xdr:col>
                    <xdr:colOff>962025</xdr:colOff>
                    <xdr:row>19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8</xdr:col>
                    <xdr:colOff>38100</xdr:colOff>
                    <xdr:row>22</xdr:row>
                    <xdr:rowOff>38100</xdr:rowOff>
                  </from>
                  <to>
                    <xdr:col>8</xdr:col>
                    <xdr:colOff>342900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8</xdr:col>
                    <xdr:colOff>657225</xdr:colOff>
                    <xdr:row>22</xdr:row>
                    <xdr:rowOff>38100</xdr:rowOff>
                  </from>
                  <to>
                    <xdr:col>8</xdr:col>
                    <xdr:colOff>962025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8</xdr:col>
                    <xdr:colOff>38100</xdr:colOff>
                    <xdr:row>25</xdr:row>
                    <xdr:rowOff>38100</xdr:rowOff>
                  </from>
                  <to>
                    <xdr:col>8</xdr:col>
                    <xdr:colOff>342900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8</xdr:col>
                    <xdr:colOff>657225</xdr:colOff>
                    <xdr:row>25</xdr:row>
                    <xdr:rowOff>38100</xdr:rowOff>
                  </from>
                  <to>
                    <xdr:col>8</xdr:col>
                    <xdr:colOff>962025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8</xdr:col>
                    <xdr:colOff>38100</xdr:colOff>
                    <xdr:row>30</xdr:row>
                    <xdr:rowOff>38100</xdr:rowOff>
                  </from>
                  <to>
                    <xdr:col>8</xdr:col>
                    <xdr:colOff>342900</xdr:colOff>
                    <xdr:row>30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8</xdr:col>
                    <xdr:colOff>657225</xdr:colOff>
                    <xdr:row>30</xdr:row>
                    <xdr:rowOff>38100</xdr:rowOff>
                  </from>
                  <to>
                    <xdr:col>8</xdr:col>
                    <xdr:colOff>962025</xdr:colOff>
                    <xdr:row>30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8</xdr:col>
                    <xdr:colOff>38100</xdr:colOff>
                    <xdr:row>24</xdr:row>
                    <xdr:rowOff>38100</xdr:rowOff>
                  </from>
                  <to>
                    <xdr:col>8</xdr:col>
                    <xdr:colOff>342900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8</xdr:col>
                    <xdr:colOff>657225</xdr:colOff>
                    <xdr:row>24</xdr:row>
                    <xdr:rowOff>38100</xdr:rowOff>
                  </from>
                  <to>
                    <xdr:col>8</xdr:col>
                    <xdr:colOff>962025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8</xdr:col>
                    <xdr:colOff>38100</xdr:colOff>
                    <xdr:row>23</xdr:row>
                    <xdr:rowOff>38100</xdr:rowOff>
                  </from>
                  <to>
                    <xdr:col>8</xdr:col>
                    <xdr:colOff>342900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8</xdr:col>
                    <xdr:colOff>657225</xdr:colOff>
                    <xdr:row>23</xdr:row>
                    <xdr:rowOff>38100</xdr:rowOff>
                  </from>
                  <to>
                    <xdr:col>8</xdr:col>
                    <xdr:colOff>962025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8</xdr:col>
                    <xdr:colOff>38100</xdr:colOff>
                    <xdr:row>26</xdr:row>
                    <xdr:rowOff>38100</xdr:rowOff>
                  </from>
                  <to>
                    <xdr:col>8</xdr:col>
                    <xdr:colOff>342900</xdr:colOff>
                    <xdr:row>26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8</xdr:col>
                    <xdr:colOff>657225</xdr:colOff>
                    <xdr:row>26</xdr:row>
                    <xdr:rowOff>38100</xdr:rowOff>
                  </from>
                  <to>
                    <xdr:col>8</xdr:col>
                    <xdr:colOff>962025</xdr:colOff>
                    <xdr:row>26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8</xdr:col>
                    <xdr:colOff>38100</xdr:colOff>
                    <xdr:row>27</xdr:row>
                    <xdr:rowOff>38100</xdr:rowOff>
                  </from>
                  <to>
                    <xdr:col>8</xdr:col>
                    <xdr:colOff>342900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8</xdr:col>
                    <xdr:colOff>657225</xdr:colOff>
                    <xdr:row>27</xdr:row>
                    <xdr:rowOff>38100</xdr:rowOff>
                  </from>
                  <to>
                    <xdr:col>8</xdr:col>
                    <xdr:colOff>962025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8</xdr:col>
                    <xdr:colOff>38100</xdr:colOff>
                    <xdr:row>18</xdr:row>
                    <xdr:rowOff>38100</xdr:rowOff>
                  </from>
                  <to>
                    <xdr:col>8</xdr:col>
                    <xdr:colOff>342900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8</xdr:col>
                    <xdr:colOff>657225</xdr:colOff>
                    <xdr:row>18</xdr:row>
                    <xdr:rowOff>38100</xdr:rowOff>
                  </from>
                  <to>
                    <xdr:col>8</xdr:col>
                    <xdr:colOff>962025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8</xdr:col>
                    <xdr:colOff>38100</xdr:colOff>
                    <xdr:row>19</xdr:row>
                    <xdr:rowOff>38100</xdr:rowOff>
                  </from>
                  <to>
                    <xdr:col>8</xdr:col>
                    <xdr:colOff>342900</xdr:colOff>
                    <xdr:row>19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8</xdr:col>
                    <xdr:colOff>657225</xdr:colOff>
                    <xdr:row>19</xdr:row>
                    <xdr:rowOff>38100</xdr:rowOff>
                  </from>
                  <to>
                    <xdr:col>8</xdr:col>
                    <xdr:colOff>962025</xdr:colOff>
                    <xdr:row>19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8</xdr:col>
                    <xdr:colOff>38100</xdr:colOff>
                    <xdr:row>22</xdr:row>
                    <xdr:rowOff>38100</xdr:rowOff>
                  </from>
                  <to>
                    <xdr:col>8</xdr:col>
                    <xdr:colOff>342900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8</xdr:col>
                    <xdr:colOff>657225</xdr:colOff>
                    <xdr:row>22</xdr:row>
                    <xdr:rowOff>38100</xdr:rowOff>
                  </from>
                  <to>
                    <xdr:col>8</xdr:col>
                    <xdr:colOff>962025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8</xdr:col>
                    <xdr:colOff>38100</xdr:colOff>
                    <xdr:row>25</xdr:row>
                    <xdr:rowOff>38100</xdr:rowOff>
                  </from>
                  <to>
                    <xdr:col>8</xdr:col>
                    <xdr:colOff>342900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>
                  <from>
                    <xdr:col>8</xdr:col>
                    <xdr:colOff>657225</xdr:colOff>
                    <xdr:row>25</xdr:row>
                    <xdr:rowOff>38100</xdr:rowOff>
                  </from>
                  <to>
                    <xdr:col>8</xdr:col>
                    <xdr:colOff>962025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Fill="0" autoLine="0" autoPict="0">
                <anchor moveWithCells="1">
                  <from>
                    <xdr:col>8</xdr:col>
                    <xdr:colOff>38100</xdr:colOff>
                    <xdr:row>30</xdr:row>
                    <xdr:rowOff>38100</xdr:rowOff>
                  </from>
                  <to>
                    <xdr:col>8</xdr:col>
                    <xdr:colOff>342900</xdr:colOff>
                    <xdr:row>30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Fill="0" autoLine="0" autoPict="0">
                <anchor moveWithCells="1">
                  <from>
                    <xdr:col>8</xdr:col>
                    <xdr:colOff>657225</xdr:colOff>
                    <xdr:row>30</xdr:row>
                    <xdr:rowOff>38100</xdr:rowOff>
                  </from>
                  <to>
                    <xdr:col>8</xdr:col>
                    <xdr:colOff>962025</xdr:colOff>
                    <xdr:row>30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Fill="0" autoLine="0" autoPict="0">
                <anchor moveWithCells="1">
                  <from>
                    <xdr:col>8</xdr:col>
                    <xdr:colOff>38100</xdr:colOff>
                    <xdr:row>24</xdr:row>
                    <xdr:rowOff>38100</xdr:rowOff>
                  </from>
                  <to>
                    <xdr:col>8</xdr:col>
                    <xdr:colOff>342900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Fill="0" autoLine="0" autoPict="0">
                <anchor moveWithCells="1">
                  <from>
                    <xdr:col>8</xdr:col>
                    <xdr:colOff>657225</xdr:colOff>
                    <xdr:row>24</xdr:row>
                    <xdr:rowOff>38100</xdr:rowOff>
                  </from>
                  <to>
                    <xdr:col>8</xdr:col>
                    <xdr:colOff>962025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Fill="0" autoLine="0" autoPict="0">
                <anchor moveWithCells="1">
                  <from>
                    <xdr:col>8</xdr:col>
                    <xdr:colOff>38100</xdr:colOff>
                    <xdr:row>23</xdr:row>
                    <xdr:rowOff>38100</xdr:rowOff>
                  </from>
                  <to>
                    <xdr:col>8</xdr:col>
                    <xdr:colOff>342900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Check Box 32">
              <controlPr defaultSize="0" autoFill="0" autoLine="0" autoPict="0">
                <anchor moveWithCells="1">
                  <from>
                    <xdr:col>8</xdr:col>
                    <xdr:colOff>657225</xdr:colOff>
                    <xdr:row>23</xdr:row>
                    <xdr:rowOff>38100</xdr:rowOff>
                  </from>
                  <to>
                    <xdr:col>8</xdr:col>
                    <xdr:colOff>962025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Check Box 33">
              <controlPr defaultSize="0" autoFill="0" autoLine="0" autoPict="0">
                <anchor moveWithCells="1">
                  <from>
                    <xdr:col>8</xdr:col>
                    <xdr:colOff>38100</xdr:colOff>
                    <xdr:row>26</xdr:row>
                    <xdr:rowOff>38100</xdr:rowOff>
                  </from>
                  <to>
                    <xdr:col>8</xdr:col>
                    <xdr:colOff>342900</xdr:colOff>
                    <xdr:row>26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Check Box 34">
              <controlPr defaultSize="0" autoFill="0" autoLine="0" autoPict="0">
                <anchor moveWithCells="1">
                  <from>
                    <xdr:col>8</xdr:col>
                    <xdr:colOff>657225</xdr:colOff>
                    <xdr:row>26</xdr:row>
                    <xdr:rowOff>38100</xdr:rowOff>
                  </from>
                  <to>
                    <xdr:col>8</xdr:col>
                    <xdr:colOff>962025</xdr:colOff>
                    <xdr:row>26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Check Box 35">
              <controlPr defaultSize="0" autoFill="0" autoLine="0" autoPict="0">
                <anchor moveWithCells="1">
                  <from>
                    <xdr:col>8</xdr:col>
                    <xdr:colOff>38100</xdr:colOff>
                    <xdr:row>27</xdr:row>
                    <xdr:rowOff>38100</xdr:rowOff>
                  </from>
                  <to>
                    <xdr:col>8</xdr:col>
                    <xdr:colOff>342900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Check Box 36">
              <controlPr defaultSize="0" autoFill="0" autoLine="0" autoPict="0">
                <anchor moveWithCells="1">
                  <from>
                    <xdr:col>8</xdr:col>
                    <xdr:colOff>657225</xdr:colOff>
                    <xdr:row>27</xdr:row>
                    <xdr:rowOff>38100</xdr:rowOff>
                  </from>
                  <to>
                    <xdr:col>8</xdr:col>
                    <xdr:colOff>962025</xdr:colOff>
                    <xdr:row>28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R46"/>
  <sheetViews>
    <sheetView topLeftCell="C1" workbookViewId="0">
      <selection activeCell="C1" sqref="A1:XFD1048576"/>
    </sheetView>
  </sheetViews>
  <sheetFormatPr defaultColWidth="9.5703125" defaultRowHeight="12.75" x14ac:dyDescent="0.2"/>
  <cols>
    <col min="1" max="1" width="6.5703125" customWidth="1"/>
    <col min="2" max="2" width="8.85546875" customWidth="1"/>
    <col min="3" max="3" width="19.42578125" customWidth="1"/>
    <col min="4" max="4" width="8.7109375" customWidth="1"/>
    <col min="5" max="5" width="17.28515625" customWidth="1"/>
    <col min="6" max="6" width="8.5703125" customWidth="1"/>
    <col min="7" max="7" width="14.5703125" customWidth="1"/>
    <col min="8" max="8" width="8.28515625" customWidth="1"/>
    <col min="9" max="9" width="17.42578125" customWidth="1"/>
    <col min="10" max="10" width="9.140625" customWidth="1"/>
    <col min="11" max="11" width="14.85546875" customWidth="1"/>
    <col min="12" max="12" width="9.28515625" customWidth="1"/>
    <col min="13" max="13" width="17.140625" customWidth="1"/>
    <col min="14" max="14" width="9.140625" customWidth="1"/>
    <col min="15" max="15" width="16.28515625" customWidth="1"/>
    <col min="16" max="16" width="8.5703125" customWidth="1"/>
    <col min="17" max="17" width="19.42578125" customWidth="1"/>
    <col min="18" max="18" width="4.85546875" customWidth="1"/>
    <col min="19" max="255" width="9.140625" customWidth="1"/>
  </cols>
  <sheetData>
    <row r="3" spans="1:18" ht="20.25" x14ac:dyDescent="0.3">
      <c r="G3" s="140" t="s">
        <v>114</v>
      </c>
    </row>
    <row r="5" spans="1:18" ht="15.75" x14ac:dyDescent="0.25">
      <c r="B5" s="354" t="s">
        <v>126</v>
      </c>
      <c r="C5" s="354"/>
      <c r="D5" s="142">
        <f>IF('[1]New Source Calibration'!B3="","",'[1]New Source Calibration'!B3)</f>
        <v>40</v>
      </c>
      <c r="G5" s="141"/>
      <c r="H5" s="141"/>
      <c r="I5" s="141" t="s">
        <v>130</v>
      </c>
      <c r="J5" s="141"/>
      <c r="K5" s="141"/>
      <c r="L5" s="201">
        <f>IF('[1]New Source Calibration'!B34="","",'[1]New Source Calibration'!B34)</f>
        <v>426.3</v>
      </c>
      <c r="M5" s="141" t="s">
        <v>129</v>
      </c>
      <c r="N5" s="141"/>
      <c r="O5" s="141" t="s">
        <v>131</v>
      </c>
      <c r="P5" s="356" t="str">
        <f>IF('[1]New Source Calibration'!E4="","",'[1]New Source Calibration'!E4)</f>
        <v>NLF 01 D85E2661</v>
      </c>
      <c r="Q5" s="356"/>
    </row>
    <row r="6" spans="1:18" ht="15.75" x14ac:dyDescent="0.25">
      <c r="B6" s="141" t="s">
        <v>127</v>
      </c>
      <c r="C6" s="141"/>
      <c r="D6" s="141"/>
      <c r="E6" s="355">
        <f>IF('[1]New Source Calibration'!B4="","",'[1]New Source Calibration'!B4)</f>
        <v>43259.583333333336</v>
      </c>
      <c r="F6" s="355"/>
      <c r="G6" s="141"/>
      <c r="H6" s="141"/>
      <c r="I6" s="141" t="s">
        <v>128</v>
      </c>
      <c r="J6" s="141"/>
      <c r="K6" s="141"/>
      <c r="L6" s="355">
        <f>IF('[1]New Source Calibration'!B35="","",'[1]New Source Calibration'!B35)</f>
        <v>43244</v>
      </c>
      <c r="M6" s="355"/>
      <c r="N6" s="141"/>
      <c r="O6" s="141"/>
      <c r="P6" s="141"/>
    </row>
    <row r="7" spans="1:18" ht="16.5" thickBot="1" x14ac:dyDescent="0.3">
      <c r="C7" s="141"/>
      <c r="D7" s="141"/>
      <c r="E7" s="142" t="s">
        <v>51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Q7" s="143" t="s">
        <v>51</v>
      </c>
    </row>
    <row r="8" spans="1:18" ht="20.100000000000001" customHeight="1" thickTop="1" x14ac:dyDescent="0.25">
      <c r="B8" s="144" t="s">
        <v>115</v>
      </c>
      <c r="C8" s="145" t="s">
        <v>116</v>
      </c>
      <c r="D8" s="146" t="s">
        <v>115</v>
      </c>
      <c r="E8" s="147" t="s">
        <v>117</v>
      </c>
      <c r="F8" s="144" t="s">
        <v>115</v>
      </c>
      <c r="G8" s="146" t="s">
        <v>116</v>
      </c>
      <c r="H8" s="146" t="s">
        <v>115</v>
      </c>
      <c r="I8" s="147" t="s">
        <v>117</v>
      </c>
      <c r="J8" s="144" t="s">
        <v>115</v>
      </c>
      <c r="K8" s="146" t="s">
        <v>116</v>
      </c>
      <c r="L8" s="146" t="s">
        <v>115</v>
      </c>
      <c r="M8" s="147" t="s">
        <v>117</v>
      </c>
      <c r="N8" s="144" t="s">
        <v>115</v>
      </c>
      <c r="O8" s="148" t="s">
        <v>116</v>
      </c>
      <c r="P8" s="146" t="s">
        <v>115</v>
      </c>
      <c r="Q8" s="147" t="s">
        <v>117</v>
      </c>
    </row>
    <row r="9" spans="1:18" ht="20.100000000000001" customHeight="1" thickBot="1" x14ac:dyDescent="0.3">
      <c r="A9" s="149"/>
      <c r="B9" s="150" t="s">
        <v>118</v>
      </c>
      <c r="C9" s="151" t="s">
        <v>119</v>
      </c>
      <c r="D9" s="152"/>
      <c r="E9" s="153" t="s">
        <v>120</v>
      </c>
      <c r="F9" s="150" t="s">
        <v>118</v>
      </c>
      <c r="G9" s="151" t="s">
        <v>119</v>
      </c>
      <c r="H9" s="152"/>
      <c r="I9" s="153" t="s">
        <v>120</v>
      </c>
      <c r="J9" s="150" t="s">
        <v>118</v>
      </c>
      <c r="K9" s="151" t="s">
        <v>119</v>
      </c>
      <c r="L9" s="152"/>
      <c r="M9" s="153" t="s">
        <v>120</v>
      </c>
      <c r="N9" s="150" t="s">
        <v>118</v>
      </c>
      <c r="O9" s="151" t="s">
        <v>119</v>
      </c>
      <c r="P9" s="152"/>
      <c r="Q9" s="153" t="s">
        <v>120</v>
      </c>
    </row>
    <row r="10" spans="1:18" s="199" customFormat="1" ht="15.95" customHeight="1" thickTop="1" x14ac:dyDescent="0.25">
      <c r="A10" s="198"/>
      <c r="B10" s="154">
        <v>1</v>
      </c>
      <c r="C10" s="155">
        <v>43259.5</v>
      </c>
      <c r="D10" s="156">
        <f>IF(C10="","",C10)</f>
        <v>43259.5</v>
      </c>
      <c r="E10" s="157">
        <f>IF('[1]New Source Calibration'!B34="","",110*'[1]New Source Calibration'!B34*(EXP(-0.693*(C10-'[1]New Source Calibration'!B36)/73.831)))</f>
        <v>40464.508775939546</v>
      </c>
      <c r="F10" s="154">
        <f>B39+1</f>
        <v>31</v>
      </c>
      <c r="G10" s="158">
        <f>IF(C39="","",C39+1)</f>
        <v>43289.5</v>
      </c>
      <c r="H10" s="159">
        <f>IF(G10="","",G10)</f>
        <v>43289.5</v>
      </c>
      <c r="I10" s="160">
        <f>IF($E$10="","",$E$10*EXP(-0.693*(G10-$C$10)/73.831))</f>
        <v>30533.859914687684</v>
      </c>
      <c r="J10" s="154">
        <f>F39+1</f>
        <v>61</v>
      </c>
      <c r="K10" s="155">
        <f>IF(G39="","",G39+1)</f>
        <v>43319.5</v>
      </c>
      <c r="L10" s="156">
        <f>IF(K10="","",K10)</f>
        <v>43319.5</v>
      </c>
      <c r="M10" s="157">
        <f>IF($E$10="","",$E$10*EXP(-0.693*(K10-$C$10)/73.831))</f>
        <v>23040.353867934085</v>
      </c>
      <c r="N10" s="154">
        <f>J39+1</f>
        <v>91</v>
      </c>
      <c r="O10" s="158">
        <f>IF(K39="","",K39+1)</f>
        <v>43349.5</v>
      </c>
      <c r="P10" s="159">
        <f>IF(O10="","",O10)</f>
        <v>43349.5</v>
      </c>
      <c r="Q10" s="161">
        <f>IF($E$10="","",$E$10*EXP(-0.693*(O10-$C$10)/73.831))</f>
        <v>17385.876133671096</v>
      </c>
    </row>
    <row r="11" spans="1:18" ht="15.95" customHeight="1" x14ac:dyDescent="0.25">
      <c r="A11" s="149"/>
      <c r="B11" s="162">
        <f t="shared" ref="B11:B39" si="0">B10+1</f>
        <v>2</v>
      </c>
      <c r="C11" s="163">
        <f>IF(C10="","",C10+1)</f>
        <v>43260.5</v>
      </c>
      <c r="D11" s="156">
        <f t="shared" ref="D11:D39" si="1">C11</f>
        <v>43260.5</v>
      </c>
      <c r="E11" s="164">
        <f>IF($E$10="","",$E$10*EXP(-0.693*(C11-$C$10)/73.831))</f>
        <v>40086.473661993507</v>
      </c>
      <c r="F11" s="162">
        <f t="shared" ref="F11:F39" si="2">F10+1</f>
        <v>32</v>
      </c>
      <c r="G11" s="165">
        <f>IF(G10="","",G10+1)</f>
        <v>43290.5</v>
      </c>
      <c r="H11" s="159">
        <f t="shared" ref="H11:H39" si="3">G11</f>
        <v>43290.5</v>
      </c>
      <c r="I11" s="160">
        <f t="shared" ref="I11:I39" si="4">IF($E$10="","",$E$10*EXP(-0.693*(G11-$C$10)/73.831))</f>
        <v>30248.600768803164</v>
      </c>
      <c r="J11" s="162">
        <f t="shared" ref="J11:J39" si="5">J10+1</f>
        <v>62</v>
      </c>
      <c r="K11" s="163">
        <f>IF(K10="","",K10+1)</f>
        <v>43320.5</v>
      </c>
      <c r="L11" s="156">
        <f t="shared" ref="L11:L39" si="6">K11</f>
        <v>43320.5</v>
      </c>
      <c r="M11" s="157">
        <f t="shared" ref="M11:M39" si="7">IF($E$10="","",$E$10*EXP(-0.693*(K11-$C$10)/73.831))</f>
        <v>22825.101957968964</v>
      </c>
      <c r="N11" s="162">
        <f t="shared" ref="N11:N39" si="8">N10+1</f>
        <v>92</v>
      </c>
      <c r="O11" s="165">
        <f>IF(O10="","",O10+1)</f>
        <v>43350.5</v>
      </c>
      <c r="P11" s="159">
        <f t="shared" ref="P11:P39" si="9">O11</f>
        <v>43350.5</v>
      </c>
      <c r="Q11" s="171">
        <f t="shared" ref="Q11:Q39" si="10">IF($E$10="","",$E$10*EXP(-0.693*(O11-$C$10)/73.831))</f>
        <v>17223.450544826384</v>
      </c>
      <c r="R11" s="166"/>
    </row>
    <row r="12" spans="1:18" s="199" customFormat="1" ht="15.95" customHeight="1" x14ac:dyDescent="0.25">
      <c r="A12" s="198"/>
      <c r="B12" s="167">
        <f t="shared" si="0"/>
        <v>3</v>
      </c>
      <c r="C12" s="168">
        <f t="shared" ref="C12:C39" si="11">IF(C11="","",C11+1)</f>
        <v>43261.5</v>
      </c>
      <c r="D12" s="156">
        <f t="shared" si="1"/>
        <v>43261.5</v>
      </c>
      <c r="E12" s="169">
        <f t="shared" ref="E12:E39" si="12">IF($E$10="","",$E$10*EXP(-0.693*(C12-$C$10)/73.831))</f>
        <v>39711.970298504828</v>
      </c>
      <c r="F12" s="167">
        <f t="shared" si="2"/>
        <v>33</v>
      </c>
      <c r="G12" s="170">
        <f t="shared" ref="G12:G39" si="13">IF(G11="","",G11+1)</f>
        <v>43291.5</v>
      </c>
      <c r="H12" s="159">
        <f t="shared" si="3"/>
        <v>43291.5</v>
      </c>
      <c r="I12" s="160">
        <f t="shared" si="4"/>
        <v>29966.00662434781</v>
      </c>
      <c r="J12" s="167">
        <f t="shared" si="5"/>
        <v>63</v>
      </c>
      <c r="K12" s="168">
        <f t="shared" ref="K12:K39" si="14">IF(K11="","",K11+1)</f>
        <v>43321.5</v>
      </c>
      <c r="L12" s="156">
        <f t="shared" si="6"/>
        <v>43321.5</v>
      </c>
      <c r="M12" s="157">
        <f t="shared" si="7"/>
        <v>22611.861014719423</v>
      </c>
      <c r="N12" s="167">
        <f t="shared" si="8"/>
        <v>93</v>
      </c>
      <c r="O12" s="170">
        <f t="shared" ref="O12:O39" si="15">IF(O11="","",O11+1)</f>
        <v>43351.5</v>
      </c>
      <c r="P12" s="159">
        <f t="shared" si="9"/>
        <v>43351.5</v>
      </c>
      <c r="Q12" s="171">
        <f t="shared" si="10"/>
        <v>17062.542398744332</v>
      </c>
      <c r="R12" s="200"/>
    </row>
    <row r="13" spans="1:18" ht="15.95" customHeight="1" x14ac:dyDescent="0.25">
      <c r="A13" s="149"/>
      <c r="B13" s="162">
        <f t="shared" si="0"/>
        <v>4</v>
      </c>
      <c r="C13" s="163">
        <f t="shared" si="11"/>
        <v>43262.5</v>
      </c>
      <c r="D13" s="156">
        <f t="shared" si="1"/>
        <v>43262.5</v>
      </c>
      <c r="E13" s="164">
        <f t="shared" si="12"/>
        <v>39340.965690492791</v>
      </c>
      <c r="F13" s="162">
        <f t="shared" si="2"/>
        <v>34</v>
      </c>
      <c r="G13" s="165">
        <f t="shared" si="13"/>
        <v>43292.5</v>
      </c>
      <c r="H13" s="159">
        <f t="shared" si="3"/>
        <v>43292.5</v>
      </c>
      <c r="I13" s="160">
        <f t="shared" si="4"/>
        <v>29686.052583846056</v>
      </c>
      <c r="J13" s="162">
        <f t="shared" si="5"/>
        <v>64</v>
      </c>
      <c r="K13" s="163">
        <f t="shared" si="14"/>
        <v>43322.5</v>
      </c>
      <c r="L13" s="156">
        <f t="shared" si="6"/>
        <v>43322.5</v>
      </c>
      <c r="M13" s="157">
        <f t="shared" si="7"/>
        <v>22400.612250955503</v>
      </c>
      <c r="N13" s="162">
        <f t="shared" si="8"/>
        <v>94</v>
      </c>
      <c r="O13" s="165">
        <f t="shared" si="15"/>
        <v>43352.5</v>
      </c>
      <c r="P13" s="159">
        <f t="shared" si="9"/>
        <v>43352.5</v>
      </c>
      <c r="Q13" s="171">
        <f t="shared" si="10"/>
        <v>16903.137518886902</v>
      </c>
      <c r="R13" s="172"/>
    </row>
    <row r="14" spans="1:18" s="199" customFormat="1" ht="15.95" customHeight="1" x14ac:dyDescent="0.25">
      <c r="A14" s="198"/>
      <c r="B14" s="167">
        <f t="shared" si="0"/>
        <v>5</v>
      </c>
      <c r="C14" s="168">
        <f t="shared" si="11"/>
        <v>43263.5</v>
      </c>
      <c r="D14" s="156">
        <f t="shared" si="1"/>
        <v>43263.5</v>
      </c>
      <c r="E14" s="169">
        <f t="shared" si="12"/>
        <v>38973.427151228585</v>
      </c>
      <c r="F14" s="167">
        <f t="shared" si="2"/>
        <v>35</v>
      </c>
      <c r="G14" s="170">
        <f t="shared" si="13"/>
        <v>43293.5</v>
      </c>
      <c r="H14" s="159">
        <f t="shared" si="3"/>
        <v>43293.5</v>
      </c>
      <c r="I14" s="160">
        <f t="shared" si="4"/>
        <v>29408.713982424179</v>
      </c>
      <c r="J14" s="167">
        <f t="shared" si="5"/>
        <v>65</v>
      </c>
      <c r="K14" s="168">
        <f t="shared" si="14"/>
        <v>43323.5</v>
      </c>
      <c r="L14" s="156">
        <f t="shared" si="6"/>
        <v>43323.5</v>
      </c>
      <c r="M14" s="157">
        <f t="shared" si="7"/>
        <v>22191.337054964828</v>
      </c>
      <c r="N14" s="167">
        <f t="shared" si="8"/>
        <v>95</v>
      </c>
      <c r="O14" s="170">
        <f t="shared" si="15"/>
        <v>43353.5</v>
      </c>
      <c r="P14" s="159">
        <f t="shared" si="9"/>
        <v>43353.5</v>
      </c>
      <c r="Q14" s="171">
        <f t="shared" si="10"/>
        <v>16745.221861158781</v>
      </c>
      <c r="R14" s="200"/>
    </row>
    <row r="15" spans="1:18" ht="15.95" customHeight="1" x14ac:dyDescent="0.25">
      <c r="A15" s="149"/>
      <c r="B15" s="162">
        <f t="shared" si="0"/>
        <v>6</v>
      </c>
      <c r="C15" s="163">
        <f t="shared" si="11"/>
        <v>43264.5</v>
      </c>
      <c r="D15" s="156">
        <f t="shared" si="1"/>
        <v>43264.5</v>
      </c>
      <c r="E15" s="164">
        <f t="shared" si="12"/>
        <v>38609.322299355459</v>
      </c>
      <c r="F15" s="162">
        <f t="shared" si="2"/>
        <v>36</v>
      </c>
      <c r="G15" s="165">
        <f t="shared" si="13"/>
        <v>43294.5</v>
      </c>
      <c r="H15" s="159">
        <f t="shared" si="3"/>
        <v>43294.5</v>
      </c>
      <c r="I15" s="160">
        <f t="shared" si="4"/>
        <v>29133.966385637268</v>
      </c>
      <c r="J15" s="162">
        <f t="shared" si="5"/>
        <v>66</v>
      </c>
      <c r="K15" s="163">
        <f t="shared" si="14"/>
        <v>43324.5</v>
      </c>
      <c r="L15" s="156">
        <f t="shared" si="6"/>
        <v>43324.5</v>
      </c>
      <c r="M15" s="157">
        <f t="shared" si="7"/>
        <v>21984.016988912856</v>
      </c>
      <c r="N15" s="162">
        <f t="shared" si="8"/>
        <v>96</v>
      </c>
      <c r="O15" s="165">
        <f t="shared" si="15"/>
        <v>43354.5</v>
      </c>
      <c r="P15" s="159">
        <f t="shared" si="9"/>
        <v>43354.5</v>
      </c>
      <c r="Q15" s="171">
        <f t="shared" si="10"/>
        <v>16588.781512670008</v>
      </c>
    </row>
    <row r="16" spans="1:18" s="199" customFormat="1" ht="15.95" customHeight="1" x14ac:dyDescent="0.25">
      <c r="A16" s="198"/>
      <c r="B16" s="167">
        <f t="shared" si="0"/>
        <v>7</v>
      </c>
      <c r="C16" s="168">
        <f t="shared" si="11"/>
        <v>43265.5</v>
      </c>
      <c r="D16" s="156">
        <f t="shared" si="1"/>
        <v>43265.5</v>
      </c>
      <c r="E16" s="169">
        <f t="shared" si="12"/>
        <v>38248.619056035845</v>
      </c>
      <c r="F16" s="167">
        <f t="shared" si="2"/>
        <v>37</v>
      </c>
      <c r="G16" s="170">
        <f t="shared" si="13"/>
        <v>43295.5</v>
      </c>
      <c r="H16" s="159">
        <f t="shared" si="3"/>
        <v>43295.5</v>
      </c>
      <c r="I16" s="160">
        <f t="shared" si="4"/>
        <v>28861.785587316463</v>
      </c>
      <c r="J16" s="167">
        <f t="shared" si="5"/>
        <v>67</v>
      </c>
      <c r="K16" s="168">
        <f t="shared" si="14"/>
        <v>43325.5</v>
      </c>
      <c r="L16" s="156">
        <f t="shared" si="6"/>
        <v>43325.5</v>
      </c>
      <c r="M16" s="157">
        <f t="shared" si="7"/>
        <v>21778.633787218409</v>
      </c>
      <c r="N16" s="167">
        <f t="shared" si="8"/>
        <v>97</v>
      </c>
      <c r="O16" s="170">
        <f t="shared" si="15"/>
        <v>43355.5</v>
      </c>
      <c r="P16" s="159">
        <f t="shared" si="9"/>
        <v>43355.5</v>
      </c>
      <c r="Q16" s="171">
        <f t="shared" si="10"/>
        <v>16433.802690510256</v>
      </c>
    </row>
    <row r="17" spans="1:17" ht="15.95" customHeight="1" x14ac:dyDescent="0.25">
      <c r="A17" s="149"/>
      <c r="B17" s="162">
        <f t="shared" si="0"/>
        <v>8</v>
      </c>
      <c r="C17" s="163">
        <f t="shared" si="11"/>
        <v>43266.5</v>
      </c>
      <c r="D17" s="156">
        <f t="shared" si="1"/>
        <v>43266.5</v>
      </c>
      <c r="E17" s="164">
        <f t="shared" si="12"/>
        <v>37891.285642125113</v>
      </c>
      <c r="F17" s="162">
        <f t="shared" si="2"/>
        <v>38</v>
      </c>
      <c r="G17" s="165">
        <f t="shared" si="13"/>
        <v>43296.5</v>
      </c>
      <c r="H17" s="159">
        <f t="shared" si="3"/>
        <v>43296.5</v>
      </c>
      <c r="I17" s="160">
        <f t="shared" si="4"/>
        <v>28592.147607436305</v>
      </c>
      <c r="J17" s="162">
        <f t="shared" si="5"/>
        <v>68</v>
      </c>
      <c r="K17" s="163">
        <f t="shared" si="14"/>
        <v>43326.5</v>
      </c>
      <c r="L17" s="156">
        <f t="shared" si="6"/>
        <v>43326.5</v>
      </c>
      <c r="M17" s="157">
        <f t="shared" si="7"/>
        <v>21575.169354944479</v>
      </c>
      <c r="N17" s="162">
        <f t="shared" si="8"/>
        <v>98</v>
      </c>
      <c r="O17" s="165">
        <f t="shared" si="15"/>
        <v>43356.5</v>
      </c>
      <c r="P17" s="159">
        <f t="shared" si="9"/>
        <v>43356.5</v>
      </c>
      <c r="Q17" s="171">
        <f t="shared" si="10"/>
        <v>16280.271740534465</v>
      </c>
    </row>
    <row r="18" spans="1:17" s="199" customFormat="1" ht="15.95" customHeight="1" x14ac:dyDescent="0.25">
      <c r="A18" s="198"/>
      <c r="B18" s="167">
        <f t="shared" si="0"/>
        <v>9</v>
      </c>
      <c r="C18" s="168">
        <f t="shared" si="11"/>
        <v>43267.5</v>
      </c>
      <c r="D18" s="156">
        <f t="shared" si="1"/>
        <v>43267.5</v>
      </c>
      <c r="E18" s="169">
        <f t="shared" si="12"/>
        <v>37537.290575371706</v>
      </c>
      <c r="F18" s="167">
        <f t="shared" si="2"/>
        <v>39</v>
      </c>
      <c r="G18" s="170">
        <f t="shared" si="13"/>
        <v>43297.5</v>
      </c>
      <c r="H18" s="159">
        <f t="shared" si="3"/>
        <v>43297.5</v>
      </c>
      <c r="I18" s="160">
        <f t="shared" si="4"/>
        <v>28325.028690002018</v>
      </c>
      <c r="J18" s="167">
        <f t="shared" si="5"/>
        <v>69</v>
      </c>
      <c r="K18" s="168">
        <f t="shared" si="14"/>
        <v>43327.5</v>
      </c>
      <c r="L18" s="156">
        <f t="shared" si="6"/>
        <v>43327.5</v>
      </c>
      <c r="M18" s="157">
        <f t="shared" si="7"/>
        <v>21373.605766203938</v>
      </c>
      <c r="N18" s="167">
        <f t="shared" si="8"/>
        <v>99</v>
      </c>
      <c r="O18" s="170">
        <f t="shared" si="15"/>
        <v>43357.5</v>
      </c>
      <c r="P18" s="159">
        <f t="shared" si="9"/>
        <v>43357.5</v>
      </c>
      <c r="Q18" s="171">
        <f t="shared" si="10"/>
        <v>16128.175136159891</v>
      </c>
    </row>
    <row r="19" spans="1:17" ht="15.95" customHeight="1" thickBot="1" x14ac:dyDescent="0.3">
      <c r="A19" s="149"/>
      <c r="B19" s="173">
        <f t="shared" si="0"/>
        <v>10</v>
      </c>
      <c r="C19" s="174">
        <f t="shared" si="11"/>
        <v>43268.5</v>
      </c>
      <c r="D19" s="175">
        <f t="shared" si="1"/>
        <v>43268.5</v>
      </c>
      <c r="E19" s="176">
        <f t="shared" si="12"/>
        <v>37186.602667643449</v>
      </c>
      <c r="F19" s="173">
        <f t="shared" si="2"/>
        <v>40</v>
      </c>
      <c r="G19" s="177">
        <f t="shared" si="13"/>
        <v>43298.5</v>
      </c>
      <c r="H19" s="178">
        <f t="shared" si="3"/>
        <v>43298.5</v>
      </c>
      <c r="I19" s="193">
        <f t="shared" si="4"/>
        <v>28060.405300956536</v>
      </c>
      <c r="J19" s="173">
        <f t="shared" si="5"/>
        <v>70</v>
      </c>
      <c r="K19" s="174">
        <f t="shared" si="14"/>
        <v>43328.5</v>
      </c>
      <c r="L19" s="175">
        <f t="shared" si="6"/>
        <v>43328.5</v>
      </c>
      <c r="M19" s="195">
        <f t="shared" si="7"/>
        <v>21173.925262580255</v>
      </c>
      <c r="N19" s="173">
        <f t="shared" si="8"/>
        <v>100</v>
      </c>
      <c r="O19" s="177">
        <f t="shared" si="15"/>
        <v>43358.5</v>
      </c>
      <c r="P19" s="178">
        <f t="shared" si="9"/>
        <v>43358.5</v>
      </c>
      <c r="Q19" s="193">
        <f t="shared" si="10"/>
        <v>15977.499477174379</v>
      </c>
    </row>
    <row r="20" spans="1:17" s="199" customFormat="1" ht="15.95" customHeight="1" x14ac:dyDescent="0.25">
      <c r="A20" s="198"/>
      <c r="B20" s="154">
        <f t="shared" si="0"/>
        <v>11</v>
      </c>
      <c r="C20" s="155">
        <f t="shared" si="11"/>
        <v>43269.5</v>
      </c>
      <c r="D20" s="156">
        <f t="shared" si="1"/>
        <v>43269.5</v>
      </c>
      <c r="E20" s="157">
        <f t="shared" si="12"/>
        <v>36839.191022179766</v>
      </c>
      <c r="F20" s="154">
        <f t="shared" si="2"/>
        <v>41</v>
      </c>
      <c r="G20" s="158">
        <f t="shared" si="13"/>
        <v>43299.5</v>
      </c>
      <c r="H20" s="159">
        <f t="shared" si="3"/>
        <v>43299.5</v>
      </c>
      <c r="I20" s="160">
        <f t="shared" si="4"/>
        <v>27798.254126107069</v>
      </c>
      <c r="J20" s="154">
        <f t="shared" si="5"/>
        <v>71</v>
      </c>
      <c r="K20" s="155">
        <f t="shared" si="14"/>
        <v>43329.5</v>
      </c>
      <c r="L20" s="156">
        <f t="shared" si="6"/>
        <v>43329.5</v>
      </c>
      <c r="M20" s="157">
        <f t="shared" si="7"/>
        <v>20976.110251562895</v>
      </c>
      <c r="N20" s="154">
        <f t="shared" si="8"/>
        <v>101</v>
      </c>
      <c r="O20" s="158">
        <f t="shared" si="15"/>
        <v>43359.5</v>
      </c>
      <c r="P20" s="159">
        <f t="shared" si="9"/>
        <v>43359.5</v>
      </c>
      <c r="Q20" s="160">
        <f t="shared" si="10"/>
        <v>15828.231488555723</v>
      </c>
    </row>
    <row r="21" spans="1:17" ht="15.95" customHeight="1" x14ac:dyDescent="0.25">
      <c r="A21" s="149"/>
      <c r="B21" s="162">
        <f t="shared" si="0"/>
        <v>12</v>
      </c>
      <c r="C21" s="163">
        <f t="shared" si="11"/>
        <v>43270.5</v>
      </c>
      <c r="D21" s="156">
        <f t="shared" si="1"/>
        <v>43270.5</v>
      </c>
      <c r="E21" s="164">
        <f t="shared" si="12"/>
        <v>36495.025030869612</v>
      </c>
      <c r="F21" s="162">
        <f t="shared" si="2"/>
        <v>42</v>
      </c>
      <c r="G21" s="165">
        <f t="shared" si="13"/>
        <v>43300.5</v>
      </c>
      <c r="H21" s="159">
        <f t="shared" si="3"/>
        <v>43300.5</v>
      </c>
      <c r="I21" s="160">
        <f t="shared" si="4"/>
        <v>27538.552069071047</v>
      </c>
      <c r="J21" s="162">
        <f t="shared" si="5"/>
        <v>72</v>
      </c>
      <c r="K21" s="163">
        <f t="shared" si="14"/>
        <v>43330.5</v>
      </c>
      <c r="L21" s="156">
        <f t="shared" si="6"/>
        <v>43330.5</v>
      </c>
      <c r="M21" s="157">
        <f t="shared" si="7"/>
        <v>20780.143304997386</v>
      </c>
      <c r="N21" s="162">
        <f t="shared" si="8"/>
        <v>102</v>
      </c>
      <c r="O21" s="165">
        <f t="shared" si="15"/>
        <v>43360.5</v>
      </c>
      <c r="P21" s="159">
        <f t="shared" si="9"/>
        <v>43360.5</v>
      </c>
      <c r="Q21" s="171">
        <f t="shared" si="10"/>
        <v>15680.358019302135</v>
      </c>
    </row>
    <row r="22" spans="1:17" s="199" customFormat="1" ht="15.95" customHeight="1" x14ac:dyDescent="0.25">
      <c r="A22" s="198"/>
      <c r="B22" s="167">
        <f t="shared" si="0"/>
        <v>13</v>
      </c>
      <c r="C22" s="168">
        <f t="shared" si="11"/>
        <v>43271.5</v>
      </c>
      <c r="D22" s="156">
        <f t="shared" si="1"/>
        <v>43271.5</v>
      </c>
      <c r="E22" s="169">
        <f t="shared" si="12"/>
        <v>36154.074371554758</v>
      </c>
      <c r="F22" s="167">
        <f t="shared" si="2"/>
        <v>43</v>
      </c>
      <c r="G22" s="170">
        <f t="shared" si="13"/>
        <v>43301.5</v>
      </c>
      <c r="H22" s="159">
        <f t="shared" si="3"/>
        <v>43301.5</v>
      </c>
      <c r="I22" s="160">
        <f t="shared" si="4"/>
        <v>27281.27624924124</v>
      </c>
      <c r="J22" s="167">
        <f t="shared" si="5"/>
        <v>73</v>
      </c>
      <c r="K22" s="168">
        <f t="shared" si="14"/>
        <v>43331.5</v>
      </c>
      <c r="L22" s="156">
        <f t="shared" si="6"/>
        <v>43331.5</v>
      </c>
      <c r="M22" s="157">
        <f t="shared" si="7"/>
        <v>20586.007157549804</v>
      </c>
      <c r="N22" s="167">
        <f t="shared" si="8"/>
        <v>103</v>
      </c>
      <c r="O22" s="170">
        <f t="shared" si="15"/>
        <v>43361.5</v>
      </c>
      <c r="P22" s="159">
        <f t="shared" si="9"/>
        <v>43361.5</v>
      </c>
      <c r="Q22" s="171">
        <f t="shared" si="10"/>
        <v>15533.866041273572</v>
      </c>
    </row>
    <row r="23" spans="1:17" ht="15.95" customHeight="1" x14ac:dyDescent="0.25">
      <c r="A23" s="149"/>
      <c r="B23" s="162">
        <f t="shared" si="0"/>
        <v>14</v>
      </c>
      <c r="C23" s="163">
        <f t="shared" si="11"/>
        <v>43272.5</v>
      </c>
      <c r="D23" s="156">
        <f t="shared" si="1"/>
        <v>43272.5</v>
      </c>
      <c r="E23" s="164">
        <f t="shared" si="12"/>
        <v>35816.309005358315</v>
      </c>
      <c r="F23" s="162">
        <f t="shared" si="2"/>
        <v>44</v>
      </c>
      <c r="G23" s="165">
        <f t="shared" si="13"/>
        <v>43302.5</v>
      </c>
      <c r="H23" s="159">
        <f t="shared" si="3"/>
        <v>43302.5</v>
      </c>
      <c r="I23" s="160">
        <f t="shared" si="4"/>
        <v>27026.403999769926</v>
      </c>
      <c r="J23" s="162">
        <f t="shared" si="5"/>
        <v>74</v>
      </c>
      <c r="K23" s="163">
        <f t="shared" si="14"/>
        <v>43332.5</v>
      </c>
      <c r="L23" s="156">
        <f t="shared" si="6"/>
        <v>43332.5</v>
      </c>
      <c r="M23" s="157">
        <f t="shared" si="7"/>
        <v>20393.684705185675</v>
      </c>
      <c r="N23" s="162">
        <f t="shared" si="8"/>
        <v>104</v>
      </c>
      <c r="O23" s="165">
        <f t="shared" si="15"/>
        <v>43362.5</v>
      </c>
      <c r="P23" s="159">
        <f t="shared" si="9"/>
        <v>43362.5</v>
      </c>
      <c r="Q23" s="171">
        <f t="shared" si="10"/>
        <v>15388.742648043921</v>
      </c>
    </row>
    <row r="24" spans="1:17" s="199" customFormat="1" ht="15.95" customHeight="1" x14ac:dyDescent="0.25">
      <c r="A24" s="198"/>
      <c r="B24" s="167">
        <f t="shared" si="0"/>
        <v>15</v>
      </c>
      <c r="C24" s="168">
        <f t="shared" si="11"/>
        <v>43273.5</v>
      </c>
      <c r="D24" s="156">
        <f t="shared" si="1"/>
        <v>43273.5</v>
      </c>
      <c r="E24" s="169">
        <f t="shared" si="12"/>
        <v>35481.699174038236</v>
      </c>
      <c r="F24" s="167">
        <f t="shared" si="2"/>
        <v>45</v>
      </c>
      <c r="G24" s="170">
        <f t="shared" si="13"/>
        <v>43303.5</v>
      </c>
      <c r="H24" s="159">
        <f t="shared" si="3"/>
        <v>43303.5</v>
      </c>
      <c r="I24" s="160">
        <f t="shared" si="4"/>
        <v>26773.91286557186</v>
      </c>
      <c r="J24" s="167">
        <f t="shared" si="5"/>
        <v>75</v>
      </c>
      <c r="K24" s="168">
        <f t="shared" si="14"/>
        <v>43333.5</v>
      </c>
      <c r="L24" s="156">
        <f t="shared" si="6"/>
        <v>43333.5</v>
      </c>
      <c r="M24" s="157">
        <f t="shared" si="7"/>
        <v>20203.159003663048</v>
      </c>
      <c r="N24" s="167">
        <f t="shared" si="8"/>
        <v>105</v>
      </c>
      <c r="O24" s="170">
        <f t="shared" si="15"/>
        <v>43363.5</v>
      </c>
      <c r="P24" s="159">
        <f t="shared" si="9"/>
        <v>43363.5</v>
      </c>
      <c r="Q24" s="171">
        <f t="shared" si="10"/>
        <v>15244.975053763901</v>
      </c>
    </row>
    <row r="25" spans="1:17" ht="15.95" customHeight="1" x14ac:dyDescent="0.25">
      <c r="A25" s="149"/>
      <c r="B25" s="162">
        <f t="shared" si="0"/>
        <v>16</v>
      </c>
      <c r="C25" s="163">
        <f t="shared" si="11"/>
        <v>43274.5</v>
      </c>
      <c r="D25" s="156">
        <f t="shared" si="1"/>
        <v>43274.5</v>
      </c>
      <c r="E25" s="164">
        <f t="shared" si="12"/>
        <v>35150.215397365471</v>
      </c>
      <c r="F25" s="162">
        <f t="shared" si="2"/>
        <v>46</v>
      </c>
      <c r="G25" s="165">
        <f t="shared" si="13"/>
        <v>43304.5</v>
      </c>
      <c r="H25" s="159">
        <f t="shared" si="3"/>
        <v>43304.5</v>
      </c>
      <c r="I25" s="160">
        <f t="shared" si="4"/>
        <v>26523.780601345879</v>
      </c>
      <c r="J25" s="162">
        <f t="shared" si="5"/>
        <v>76</v>
      </c>
      <c r="K25" s="163">
        <f t="shared" si="14"/>
        <v>43334.5</v>
      </c>
      <c r="L25" s="156">
        <f t="shared" si="6"/>
        <v>43334.5</v>
      </c>
      <c r="M25" s="157">
        <f t="shared" si="7"/>
        <v>20014.413267039628</v>
      </c>
      <c r="N25" s="162">
        <f t="shared" si="8"/>
        <v>106</v>
      </c>
      <c r="O25" s="165">
        <f t="shared" si="15"/>
        <v>43364.5</v>
      </c>
      <c r="P25" s="159">
        <f t="shared" si="9"/>
        <v>43364.5</v>
      </c>
      <c r="Q25" s="171">
        <f t="shared" si="10"/>
        <v>15102.550592034589</v>
      </c>
    </row>
    <row r="26" spans="1:17" s="199" customFormat="1" ht="15.95" customHeight="1" x14ac:dyDescent="0.25">
      <c r="A26" s="198"/>
      <c r="B26" s="167">
        <f t="shared" si="0"/>
        <v>17</v>
      </c>
      <c r="C26" s="168">
        <f t="shared" si="11"/>
        <v>43275.5</v>
      </c>
      <c r="D26" s="156">
        <f t="shared" si="1"/>
        <v>43275.5</v>
      </c>
      <c r="E26" s="169">
        <f t="shared" si="12"/>
        <v>34821.828470526714</v>
      </c>
      <c r="F26" s="167">
        <f t="shared" si="2"/>
        <v>47</v>
      </c>
      <c r="G26" s="170">
        <f t="shared" si="13"/>
        <v>43305.5</v>
      </c>
      <c r="H26" s="159">
        <f t="shared" si="3"/>
        <v>43305.5</v>
      </c>
      <c r="I26" s="160">
        <f t="shared" si="4"/>
        <v>26275.985169615058</v>
      </c>
      <c r="J26" s="167">
        <f t="shared" si="5"/>
        <v>77</v>
      </c>
      <c r="K26" s="168">
        <f t="shared" si="14"/>
        <v>43335.5</v>
      </c>
      <c r="L26" s="156">
        <f t="shared" si="6"/>
        <v>43335.5</v>
      </c>
      <c r="M26" s="157">
        <f t="shared" si="7"/>
        <v>19827.430866193892</v>
      </c>
      <c r="N26" s="167">
        <f t="shared" si="8"/>
        <v>107</v>
      </c>
      <c r="O26" s="170">
        <f t="shared" si="15"/>
        <v>43365.5</v>
      </c>
      <c r="P26" s="159">
        <f t="shared" si="9"/>
        <v>43365.5</v>
      </c>
      <c r="Q26" s="171">
        <f t="shared" si="10"/>
        <v>14961.456714791469</v>
      </c>
    </row>
    <row r="27" spans="1:17" ht="15.95" customHeight="1" x14ac:dyDescent="0.25">
      <c r="A27" s="149"/>
      <c r="B27" s="162">
        <f t="shared" si="0"/>
        <v>18</v>
      </c>
      <c r="C27" s="163">
        <f t="shared" si="11"/>
        <v>43276.5</v>
      </c>
      <c r="D27" s="156">
        <f t="shared" si="1"/>
        <v>43276.5</v>
      </c>
      <c r="E27" s="164">
        <f t="shared" si="12"/>
        <v>34496.509461551308</v>
      </c>
      <c r="F27" s="162">
        <f t="shared" si="2"/>
        <v>48</v>
      </c>
      <c r="G27" s="165">
        <f t="shared" si="13"/>
        <v>43306.5</v>
      </c>
      <c r="H27" s="159">
        <f t="shared" si="3"/>
        <v>43306.5</v>
      </c>
      <c r="I27" s="160">
        <f t="shared" si="4"/>
        <v>26030.504738785112</v>
      </c>
      <c r="J27" s="162">
        <f t="shared" si="5"/>
        <v>78</v>
      </c>
      <c r="K27" s="163">
        <f t="shared" si="14"/>
        <v>43336.5</v>
      </c>
      <c r="L27" s="156">
        <f t="shared" si="6"/>
        <v>43336.5</v>
      </c>
      <c r="M27" s="157">
        <f t="shared" si="7"/>
        <v>19642.19532736003</v>
      </c>
      <c r="N27" s="162">
        <f t="shared" si="8"/>
        <v>108</v>
      </c>
      <c r="O27" s="165">
        <f t="shared" si="15"/>
        <v>43366.5</v>
      </c>
      <c r="P27" s="159">
        <f t="shared" si="9"/>
        <v>43366.5</v>
      </c>
      <c r="Q27" s="171">
        <f t="shared" si="10"/>
        <v>14821.680991198897</v>
      </c>
    </row>
    <row r="28" spans="1:17" s="199" customFormat="1" ht="15.95" customHeight="1" x14ac:dyDescent="0.25">
      <c r="A28" s="198"/>
      <c r="B28" s="167">
        <f t="shared" si="0"/>
        <v>19</v>
      </c>
      <c r="C28" s="168">
        <f t="shared" si="11"/>
        <v>43277.5</v>
      </c>
      <c r="D28" s="156">
        <f t="shared" si="1"/>
        <v>43277.5</v>
      </c>
      <c r="E28" s="169">
        <f t="shared" si="12"/>
        <v>34174.229708762308</v>
      </c>
      <c r="F28" s="167">
        <f t="shared" si="2"/>
        <v>49</v>
      </c>
      <c r="G28" s="170">
        <f t="shared" si="13"/>
        <v>43307.5</v>
      </c>
      <c r="H28" s="159">
        <f t="shared" si="3"/>
        <v>43307.5</v>
      </c>
      <c r="I28" s="160">
        <f t="shared" si="4"/>
        <v>25787.317681220964</v>
      </c>
      <c r="J28" s="167">
        <f t="shared" si="5"/>
        <v>79</v>
      </c>
      <c r="K28" s="168">
        <f t="shared" si="14"/>
        <v>43337.5</v>
      </c>
      <c r="L28" s="156">
        <f t="shared" si="6"/>
        <v>43337.5</v>
      </c>
      <c r="M28" s="157">
        <f t="shared" si="7"/>
        <v>19458.690330676513</v>
      </c>
      <c r="N28" s="167">
        <f t="shared" si="8"/>
        <v>109</v>
      </c>
      <c r="O28" s="170">
        <f t="shared" si="15"/>
        <v>43367.5</v>
      </c>
      <c r="P28" s="159">
        <f t="shared" si="9"/>
        <v>43367.5</v>
      </c>
      <c r="Q28" s="171">
        <f t="shared" si="10"/>
        <v>14683.211106554914</v>
      </c>
    </row>
    <row r="29" spans="1:17" ht="15.95" customHeight="1" thickBot="1" x14ac:dyDescent="0.3">
      <c r="A29" s="149"/>
      <c r="B29" s="173">
        <f t="shared" si="0"/>
        <v>20</v>
      </c>
      <c r="C29" s="174">
        <f t="shared" si="11"/>
        <v>43278.5</v>
      </c>
      <c r="D29" s="175">
        <f t="shared" si="1"/>
        <v>43278.5</v>
      </c>
      <c r="E29" s="176">
        <f t="shared" si="12"/>
        <v>33854.960818251231</v>
      </c>
      <c r="F29" s="173">
        <f t="shared" si="2"/>
        <v>50</v>
      </c>
      <c r="G29" s="177">
        <f t="shared" si="13"/>
        <v>43308.5</v>
      </c>
      <c r="H29" s="178">
        <f t="shared" si="3"/>
        <v>43308.5</v>
      </c>
      <c r="I29" s="193">
        <f t="shared" si="4"/>
        <v>25546.40257134127</v>
      </c>
      <c r="J29" s="173">
        <f t="shared" si="5"/>
        <v>80</v>
      </c>
      <c r="K29" s="174">
        <f t="shared" si="14"/>
        <v>43338.5</v>
      </c>
      <c r="L29" s="175">
        <f t="shared" si="6"/>
        <v>43338.5</v>
      </c>
      <c r="M29" s="195">
        <f t="shared" si="7"/>
        <v>19276.899708748293</v>
      </c>
      <c r="N29" s="173">
        <f t="shared" si="8"/>
        <v>110</v>
      </c>
      <c r="O29" s="177">
        <f t="shared" si="15"/>
        <v>43368.5</v>
      </c>
      <c r="P29" s="178">
        <f t="shared" si="9"/>
        <v>43368.5</v>
      </c>
      <c r="Q29" s="193">
        <f t="shared" si="10"/>
        <v>14546.034861206284</v>
      </c>
    </row>
    <row r="30" spans="1:17" s="199" customFormat="1" ht="15.95" customHeight="1" x14ac:dyDescent="0.25">
      <c r="A30" s="198"/>
      <c r="B30" s="154">
        <f t="shared" si="0"/>
        <v>21</v>
      </c>
      <c r="C30" s="155">
        <f t="shared" si="11"/>
        <v>43279.5</v>
      </c>
      <c r="D30" s="156">
        <f t="shared" si="1"/>
        <v>43279.5</v>
      </c>
      <c r="E30" s="157">
        <f t="shared" si="12"/>
        <v>33538.674661376484</v>
      </c>
      <c r="F30" s="154">
        <f t="shared" si="2"/>
        <v>51</v>
      </c>
      <c r="G30" s="158">
        <f t="shared" si="13"/>
        <v>43309.5</v>
      </c>
      <c r="H30" s="159">
        <f t="shared" si="3"/>
        <v>43309.5</v>
      </c>
      <c r="I30" s="160">
        <f t="shared" si="4"/>
        <v>25307.738183730798</v>
      </c>
      <c r="J30" s="154">
        <f t="shared" si="5"/>
        <v>81</v>
      </c>
      <c r="K30" s="155">
        <f t="shared" si="14"/>
        <v>43339.5</v>
      </c>
      <c r="L30" s="156">
        <f t="shared" si="6"/>
        <v>43339.5</v>
      </c>
      <c r="M30" s="157">
        <f t="shared" si="7"/>
        <v>19096.807445222381</v>
      </c>
      <c r="N30" s="154">
        <f t="shared" si="8"/>
        <v>111</v>
      </c>
      <c r="O30" s="158">
        <f t="shared" si="15"/>
        <v>43369.5</v>
      </c>
      <c r="P30" s="159">
        <f t="shared" si="9"/>
        <v>43369.5</v>
      </c>
      <c r="Q30" s="160">
        <f t="shared" si="10"/>
        <v>14410.14016947364</v>
      </c>
    </row>
    <row r="31" spans="1:17" ht="15.95" customHeight="1" x14ac:dyDescent="0.25">
      <c r="A31" s="149"/>
      <c r="B31" s="162">
        <f t="shared" si="0"/>
        <v>22</v>
      </c>
      <c r="C31" s="163">
        <f t="shared" si="11"/>
        <v>43280.5</v>
      </c>
      <c r="D31" s="156">
        <f t="shared" si="1"/>
        <v>43280.5</v>
      </c>
      <c r="E31" s="164">
        <f t="shared" si="12"/>
        <v>33225.343372285155</v>
      </c>
      <c r="F31" s="162">
        <f t="shared" si="2"/>
        <v>52</v>
      </c>
      <c r="G31" s="165">
        <f t="shared" si="13"/>
        <v>43310.5</v>
      </c>
      <c r="H31" s="159">
        <f t="shared" si="3"/>
        <v>43310.5</v>
      </c>
      <c r="I31" s="160">
        <f t="shared" si="4"/>
        <v>25071.30349127033</v>
      </c>
      <c r="J31" s="162">
        <f t="shared" si="5"/>
        <v>82</v>
      </c>
      <c r="K31" s="163">
        <f t="shared" si="14"/>
        <v>43340.5</v>
      </c>
      <c r="L31" s="156">
        <f t="shared" si="6"/>
        <v>43340.5</v>
      </c>
      <c r="M31" s="157">
        <f t="shared" si="7"/>
        <v>18918.397673376767</v>
      </c>
      <c r="N31" s="162">
        <f t="shared" si="8"/>
        <v>112</v>
      </c>
      <c r="O31" s="165">
        <f t="shared" si="15"/>
        <v>43370.5</v>
      </c>
      <c r="P31" s="159">
        <f t="shared" si="9"/>
        <v>43370.5</v>
      </c>
      <c r="Q31" s="171">
        <f t="shared" si="10"/>
        <v>14275.515058586725</v>
      </c>
    </row>
    <row r="32" spans="1:17" s="199" customFormat="1" ht="15.95" customHeight="1" x14ac:dyDescent="0.25">
      <c r="A32" s="198"/>
      <c r="B32" s="167">
        <f t="shared" si="0"/>
        <v>23</v>
      </c>
      <c r="C32" s="168">
        <f t="shared" si="11"/>
        <v>43281.5</v>
      </c>
      <c r="D32" s="156">
        <f t="shared" si="1"/>
        <v>43281.5</v>
      </c>
      <c r="E32" s="169">
        <f t="shared" si="12"/>
        <v>32914.939345457911</v>
      </c>
      <c r="F32" s="167">
        <f t="shared" si="2"/>
        <v>53</v>
      </c>
      <c r="G32" s="170">
        <f t="shared" si="13"/>
        <v>43311.5</v>
      </c>
      <c r="H32" s="159">
        <f t="shared" si="3"/>
        <v>43311.5</v>
      </c>
      <c r="I32" s="160">
        <f t="shared" si="4"/>
        <v>24837.077663284155</v>
      </c>
      <c r="J32" s="167">
        <f t="shared" si="5"/>
        <v>83</v>
      </c>
      <c r="K32" s="168">
        <f t="shared" si="14"/>
        <v>43341.5</v>
      </c>
      <c r="L32" s="156">
        <f t="shared" si="6"/>
        <v>43341.5</v>
      </c>
      <c r="M32" s="157">
        <f t="shared" si="7"/>
        <v>18741.6546747225</v>
      </c>
      <c r="N32" s="167">
        <f t="shared" si="8"/>
        <v>113</v>
      </c>
      <c r="O32" s="170">
        <f t="shared" si="15"/>
        <v>43371.5</v>
      </c>
      <c r="P32" s="159">
        <f t="shared" si="9"/>
        <v>43371.5</v>
      </c>
      <c r="Q32" s="171">
        <f t="shared" si="10"/>
        <v>14142.147667629539</v>
      </c>
    </row>
    <row r="33" spans="1:17" ht="15.95" customHeight="1" x14ac:dyDescent="0.25">
      <c r="A33" s="149"/>
      <c r="B33" s="162">
        <f t="shared" si="0"/>
        <v>24</v>
      </c>
      <c r="C33" s="163">
        <f t="shared" si="11"/>
        <v>43282.5</v>
      </c>
      <c r="D33" s="156">
        <f t="shared" si="1"/>
        <v>43282.5</v>
      </c>
      <c r="E33" s="164">
        <f t="shared" si="12"/>
        <v>32607.435233276872</v>
      </c>
      <c r="F33" s="162">
        <f t="shared" si="2"/>
        <v>54</v>
      </c>
      <c r="G33" s="165">
        <f t="shared" si="13"/>
        <v>43312.5</v>
      </c>
      <c r="H33" s="159">
        <f t="shared" si="3"/>
        <v>43312.5</v>
      </c>
      <c r="I33" s="160">
        <f t="shared" si="4"/>
        <v>24605.040063704815</v>
      </c>
      <c r="J33" s="162">
        <f t="shared" si="5"/>
        <v>84</v>
      </c>
      <c r="K33" s="163">
        <f t="shared" si="14"/>
        <v>43342.5</v>
      </c>
      <c r="L33" s="156">
        <f t="shared" si="6"/>
        <v>43342.5</v>
      </c>
      <c r="M33" s="157">
        <f t="shared" si="7"/>
        <v>18566.562877618839</v>
      </c>
      <c r="N33" s="162">
        <f t="shared" si="8"/>
        <v>114</v>
      </c>
      <c r="O33" s="165">
        <f t="shared" si="15"/>
        <v>43372.5</v>
      </c>
      <c r="P33" s="159">
        <f t="shared" si="9"/>
        <v>43372.5</v>
      </c>
      <c r="Q33" s="171">
        <f t="shared" si="10"/>
        <v>14010.026246495348</v>
      </c>
    </row>
    <row r="34" spans="1:17" s="199" customFormat="1" ht="15.95" customHeight="1" x14ac:dyDescent="0.25">
      <c r="A34" s="198"/>
      <c r="B34" s="167">
        <f t="shared" si="0"/>
        <v>25</v>
      </c>
      <c r="C34" s="168">
        <f t="shared" si="11"/>
        <v>43283.5</v>
      </c>
      <c r="D34" s="156">
        <f t="shared" si="1"/>
        <v>43283.5</v>
      </c>
      <c r="E34" s="169">
        <f t="shared" si="12"/>
        <v>32302.803943616203</v>
      </c>
      <c r="F34" s="167">
        <f t="shared" si="2"/>
        <v>55</v>
      </c>
      <c r="G34" s="170">
        <f t="shared" si="13"/>
        <v>43313.5</v>
      </c>
      <c r="H34" s="159">
        <f t="shared" si="3"/>
        <v>43313.5</v>
      </c>
      <c r="I34" s="160">
        <f t="shared" si="4"/>
        <v>24375.170249254963</v>
      </c>
      <c r="J34" s="167">
        <f t="shared" si="5"/>
        <v>85</v>
      </c>
      <c r="K34" s="168">
        <f t="shared" si="14"/>
        <v>43343.5</v>
      </c>
      <c r="L34" s="156">
        <f t="shared" si="6"/>
        <v>43343.5</v>
      </c>
      <c r="M34" s="157">
        <f t="shared" si="7"/>
        <v>18393.106855901355</v>
      </c>
      <c r="N34" s="167">
        <f t="shared" si="8"/>
        <v>115</v>
      </c>
      <c r="O34" s="170">
        <f t="shared" si="15"/>
        <v>43373.5</v>
      </c>
      <c r="P34" s="159">
        <f t="shared" si="9"/>
        <v>43373.5</v>
      </c>
      <c r="Q34" s="171">
        <f t="shared" si="10"/>
        <v>13879.139154851471</v>
      </c>
    </row>
    <row r="35" spans="1:17" ht="15.95" customHeight="1" x14ac:dyDescent="0.25">
      <c r="A35" s="149"/>
      <c r="B35" s="162">
        <f t="shared" si="0"/>
        <v>26</v>
      </c>
      <c r="C35" s="163">
        <f t="shared" si="11"/>
        <v>43284.5</v>
      </c>
      <c r="D35" s="156">
        <f t="shared" si="1"/>
        <v>43284.5</v>
      </c>
      <c r="E35" s="164">
        <f t="shared" si="12"/>
        <v>32001.018637455199</v>
      </c>
      <c r="F35" s="162">
        <f t="shared" si="2"/>
        <v>56</v>
      </c>
      <c r="G35" s="165">
        <f t="shared" si="13"/>
        <v>43314.5</v>
      </c>
      <c r="H35" s="159">
        <f t="shared" si="3"/>
        <v>43314.5</v>
      </c>
      <c r="I35" s="160">
        <f t="shared" si="4"/>
        <v>24147.447967646294</v>
      </c>
      <c r="J35" s="162">
        <f t="shared" si="5"/>
        <v>86</v>
      </c>
      <c r="K35" s="163">
        <f t="shared" si="14"/>
        <v>43344.5</v>
      </c>
      <c r="L35" s="156">
        <f t="shared" si="6"/>
        <v>43344.5</v>
      </c>
      <c r="M35" s="157">
        <f t="shared" si="7"/>
        <v>18221.271327522794</v>
      </c>
      <c r="N35" s="162">
        <f t="shared" si="8"/>
        <v>116</v>
      </c>
      <c r="O35" s="165">
        <f t="shared" si="15"/>
        <v>43374.5</v>
      </c>
      <c r="P35" s="159">
        <f t="shared" si="9"/>
        <v>43374.5</v>
      </c>
      <c r="Q35" s="171">
        <f t="shared" si="10"/>
        <v>13749.47486111372</v>
      </c>
    </row>
    <row r="36" spans="1:17" s="199" customFormat="1" ht="15.95" customHeight="1" x14ac:dyDescent="0.25">
      <c r="A36" s="198"/>
      <c r="B36" s="167">
        <f t="shared" si="0"/>
        <v>27</v>
      </c>
      <c r="C36" s="168">
        <f t="shared" si="11"/>
        <v>43285.5</v>
      </c>
      <c r="D36" s="156">
        <f t="shared" si="1"/>
        <v>43285.5</v>
      </c>
      <c r="E36" s="169">
        <f t="shared" si="12"/>
        <v>31702.052726513688</v>
      </c>
      <c r="F36" s="167">
        <f t="shared" si="2"/>
        <v>57</v>
      </c>
      <c r="G36" s="170">
        <f t="shared" si="13"/>
        <v>43315.5</v>
      </c>
      <c r="H36" s="159">
        <f t="shared" si="3"/>
        <v>43315.5</v>
      </c>
      <c r="I36" s="160">
        <f t="shared" si="4"/>
        <v>23921.853155795194</v>
      </c>
      <c r="J36" s="167">
        <f t="shared" si="5"/>
        <v>87</v>
      </c>
      <c r="K36" s="168">
        <f t="shared" si="14"/>
        <v>43345.5</v>
      </c>
      <c r="L36" s="156">
        <f t="shared" si="6"/>
        <v>43345.5</v>
      </c>
      <c r="M36" s="157">
        <f t="shared" si="7"/>
        <v>18051.041153206737</v>
      </c>
      <c r="N36" s="167">
        <f t="shared" si="8"/>
        <v>117</v>
      </c>
      <c r="O36" s="170">
        <f t="shared" si="15"/>
        <v>43375.5</v>
      </c>
      <c r="P36" s="159">
        <f t="shared" si="9"/>
        <v>43375.5</v>
      </c>
      <c r="Q36" s="171">
        <f t="shared" si="10"/>
        <v>13621.021941430439</v>
      </c>
    </row>
    <row r="37" spans="1:17" ht="15.95" customHeight="1" x14ac:dyDescent="0.25">
      <c r="A37" s="149"/>
      <c r="B37" s="162">
        <f t="shared" si="0"/>
        <v>28</v>
      </c>
      <c r="C37" s="163">
        <f t="shared" si="11"/>
        <v>43286.5</v>
      </c>
      <c r="D37" s="156">
        <f t="shared" si="1"/>
        <v>43286.5</v>
      </c>
      <c r="E37" s="164">
        <f t="shared" si="12"/>
        <v>31405.879870909495</v>
      </c>
      <c r="F37" s="162">
        <f t="shared" si="2"/>
        <v>58</v>
      </c>
      <c r="G37" s="165">
        <f t="shared" si="13"/>
        <v>43316.5</v>
      </c>
      <c r="H37" s="159">
        <f t="shared" si="3"/>
        <v>43316.5</v>
      </c>
      <c r="I37" s="160">
        <f t="shared" si="4"/>
        <v>23698.365938055173</v>
      </c>
      <c r="J37" s="162">
        <f t="shared" si="5"/>
        <v>88</v>
      </c>
      <c r="K37" s="163">
        <f t="shared" si="14"/>
        <v>43346.5</v>
      </c>
      <c r="L37" s="156">
        <f t="shared" si="6"/>
        <v>43346.5</v>
      </c>
      <c r="M37" s="157">
        <f t="shared" si="7"/>
        <v>17882.401335113736</v>
      </c>
      <c r="N37" s="162">
        <f t="shared" si="8"/>
        <v>118</v>
      </c>
      <c r="O37" s="165">
        <f t="shared" si="15"/>
        <v>43376.5</v>
      </c>
      <c r="P37" s="159">
        <f t="shared" si="9"/>
        <v>43376.5</v>
      </c>
      <c r="Q37" s="171">
        <f t="shared" si="10"/>
        <v>13493.769078676005</v>
      </c>
    </row>
    <row r="38" spans="1:17" s="199" customFormat="1" ht="15.95" customHeight="1" x14ac:dyDescent="0.25">
      <c r="A38" s="198"/>
      <c r="B38" s="167">
        <f t="shared" si="0"/>
        <v>29</v>
      </c>
      <c r="C38" s="168">
        <f t="shared" si="11"/>
        <v>43287.5</v>
      </c>
      <c r="D38" s="156">
        <f t="shared" si="1"/>
        <v>43287.5</v>
      </c>
      <c r="E38" s="169">
        <f t="shared" si="12"/>
        <v>31112.473976837839</v>
      </c>
      <c r="F38" s="167">
        <f t="shared" si="2"/>
        <v>59</v>
      </c>
      <c r="G38" s="170">
        <f t="shared" si="13"/>
        <v>43317.5</v>
      </c>
      <c r="H38" s="159">
        <f t="shared" si="3"/>
        <v>43317.5</v>
      </c>
      <c r="I38" s="160">
        <f t="shared" si="4"/>
        <v>23476.966624465716</v>
      </c>
      <c r="J38" s="167">
        <f t="shared" si="5"/>
        <v>89</v>
      </c>
      <c r="K38" s="168">
        <f t="shared" si="14"/>
        <v>43347.5</v>
      </c>
      <c r="L38" s="156">
        <f t="shared" si="6"/>
        <v>43347.5</v>
      </c>
      <c r="M38" s="157">
        <f t="shared" si="7"/>
        <v>17715.337015519966</v>
      </c>
      <c r="N38" s="167">
        <f t="shared" si="8"/>
        <v>119</v>
      </c>
      <c r="O38" s="170">
        <f t="shared" si="15"/>
        <v>43377.5</v>
      </c>
      <c r="P38" s="159">
        <f t="shared" si="9"/>
        <v>43377.5</v>
      </c>
      <c r="Q38" s="171">
        <f t="shared" si="10"/>
        <v>13367.70506145378</v>
      </c>
    </row>
    <row r="39" spans="1:17" ht="15.95" customHeight="1" thickBot="1" x14ac:dyDescent="0.3">
      <c r="A39" s="149"/>
      <c r="B39" s="179">
        <f t="shared" si="0"/>
        <v>30</v>
      </c>
      <c r="C39" s="180">
        <f t="shared" si="11"/>
        <v>43288.5</v>
      </c>
      <c r="D39" s="181">
        <f t="shared" si="1"/>
        <v>43288.5</v>
      </c>
      <c r="E39" s="182">
        <f t="shared" si="12"/>
        <v>30821.809194272369</v>
      </c>
      <c r="F39" s="179">
        <f t="shared" si="2"/>
        <v>60</v>
      </c>
      <c r="G39" s="183">
        <f t="shared" si="13"/>
        <v>43318.5</v>
      </c>
      <c r="H39" s="184">
        <f t="shared" si="3"/>
        <v>43318.5</v>
      </c>
      <c r="I39" s="194">
        <f t="shared" si="4"/>
        <v>23257.635709017544</v>
      </c>
      <c r="J39" s="179">
        <f t="shared" si="5"/>
        <v>90</v>
      </c>
      <c r="K39" s="180">
        <f t="shared" si="14"/>
        <v>43348.5</v>
      </c>
      <c r="L39" s="196">
        <f t="shared" si="6"/>
        <v>43348.5</v>
      </c>
      <c r="M39" s="197">
        <f t="shared" si="7"/>
        <v>17549.833475508214</v>
      </c>
      <c r="N39" s="179">
        <f t="shared" si="8"/>
        <v>120</v>
      </c>
      <c r="O39" s="183">
        <f t="shared" si="15"/>
        <v>43378.5</v>
      </c>
      <c r="P39" s="184">
        <f t="shared" si="9"/>
        <v>43378.5</v>
      </c>
      <c r="Q39" s="194">
        <f t="shared" si="10"/>
        <v>13242.818783108336</v>
      </c>
    </row>
    <row r="40" spans="1:17" ht="13.5" thickTop="1" x14ac:dyDescent="0.2">
      <c r="C40" s="185"/>
      <c r="D40" s="185"/>
      <c r="G40" s="185"/>
      <c r="H40" s="185"/>
      <c r="K40" s="185"/>
      <c r="L40" s="185"/>
      <c r="O40" s="185"/>
      <c r="P40" s="185"/>
    </row>
    <row r="41" spans="1:17" ht="15.75" x14ac:dyDescent="0.25">
      <c r="E41" s="142" t="s">
        <v>121</v>
      </c>
      <c r="F41" s="141"/>
      <c r="G41" s="141"/>
    </row>
    <row r="42" spans="1:17" ht="18.75" x14ac:dyDescent="0.25">
      <c r="F42" s="141" t="s">
        <v>122</v>
      </c>
      <c r="G42" s="141"/>
      <c r="H42" s="141"/>
      <c r="J42" s="186" t="s">
        <v>123</v>
      </c>
      <c r="K42" s="141"/>
      <c r="L42" s="141" t="s">
        <v>124</v>
      </c>
    </row>
    <row r="43" spans="1:17" x14ac:dyDescent="0.2">
      <c r="C43" t="s">
        <v>51</v>
      </c>
    </row>
    <row r="46" spans="1:17" x14ac:dyDescent="0.2">
      <c r="J46" t="s">
        <v>51</v>
      </c>
    </row>
  </sheetData>
  <mergeCells count="4">
    <mergeCell ref="B5:C5"/>
    <mergeCell ref="E6:F6"/>
    <mergeCell ref="L6:M6"/>
    <mergeCell ref="P5:Q5"/>
  </mergeCells>
  <phoneticPr fontId="79" type="noConversion"/>
  <pageMargins left="0.7" right="0.7" top="0.75" bottom="0.75" header="0.3" footer="0.3"/>
  <pageSetup paperSize="3" scale="9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6"/>
  <sheetViews>
    <sheetView zoomScale="9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XFD1048576"/>
    </sheetView>
  </sheetViews>
  <sheetFormatPr defaultColWidth="11.85546875" defaultRowHeight="12.75" x14ac:dyDescent="0.2"/>
  <cols>
    <col min="1" max="1" width="2.7109375" style="4" customWidth="1"/>
    <col min="2" max="2" width="37.85546875" style="4" customWidth="1"/>
    <col min="3" max="3" width="14.85546875" style="5" customWidth="1"/>
    <col min="4" max="237" width="9.140625" style="5" customWidth="1"/>
    <col min="238" max="238" width="2.7109375" style="5" customWidth="1"/>
    <col min="239" max="239" width="37.85546875" style="5" customWidth="1"/>
    <col min="240" max="16384" width="11.85546875" style="5"/>
  </cols>
  <sheetData>
    <row r="1" spans="1:4" ht="18" x14ac:dyDescent="0.25">
      <c r="A1" s="357" t="s">
        <v>0</v>
      </c>
      <c r="B1" s="357"/>
      <c r="C1" s="357"/>
    </row>
    <row r="2" spans="1:4" ht="18" x14ac:dyDescent="0.25">
      <c r="A2" s="357" t="s">
        <v>7</v>
      </c>
      <c r="B2" s="357"/>
      <c r="C2" s="357"/>
    </row>
    <row r="3" spans="1:4" ht="13.5" thickBot="1" x14ac:dyDescent="0.25"/>
    <row r="4" spans="1:4" s="6" customFormat="1" ht="24" customHeight="1" thickTop="1" x14ac:dyDescent="0.2">
      <c r="A4" s="358" t="s">
        <v>1</v>
      </c>
      <c r="B4" s="359"/>
      <c r="C4" s="137" t="s">
        <v>241</v>
      </c>
    </row>
    <row r="5" spans="1:4" s="10" customFormat="1" ht="24" customHeight="1" x14ac:dyDescent="0.2">
      <c r="A5" s="7" t="s">
        <v>43</v>
      </c>
      <c r="B5" s="8"/>
      <c r="C5" s="9"/>
    </row>
    <row r="6" spans="1:4" s="12" customFormat="1" ht="24" customHeight="1" x14ac:dyDescent="0.2">
      <c r="A6" s="1">
        <v>1</v>
      </c>
      <c r="B6" s="11" t="s">
        <v>8</v>
      </c>
      <c r="C6" s="371" t="s">
        <v>242</v>
      </c>
    </row>
    <row r="7" spans="1:4" s="12" customFormat="1" ht="24" customHeight="1" x14ac:dyDescent="0.2">
      <c r="A7" s="1">
        <v>2</v>
      </c>
      <c r="B7" s="2" t="s">
        <v>9</v>
      </c>
      <c r="C7" s="371" t="s">
        <v>242</v>
      </c>
    </row>
    <row r="8" spans="1:4" s="12" customFormat="1" ht="24" customHeight="1" x14ac:dyDescent="0.2">
      <c r="A8" s="1">
        <v>3</v>
      </c>
      <c r="B8" s="2" t="s">
        <v>10</v>
      </c>
      <c r="C8" s="371" t="s">
        <v>242</v>
      </c>
    </row>
    <row r="9" spans="1:4" s="12" customFormat="1" ht="24" customHeight="1" x14ac:dyDescent="0.2">
      <c r="A9" s="1">
        <v>4</v>
      </c>
      <c r="B9" s="11" t="s">
        <v>231</v>
      </c>
      <c r="C9" s="371" t="s">
        <v>242</v>
      </c>
    </row>
    <row r="10" spans="1:4" s="12" customFormat="1" ht="24" customHeight="1" x14ac:dyDescent="0.2">
      <c r="A10" s="1">
        <v>5</v>
      </c>
      <c r="B10" s="2" t="s">
        <v>11</v>
      </c>
      <c r="C10" s="294"/>
    </row>
    <row r="11" spans="1:4" s="12" customFormat="1" ht="24" customHeight="1" x14ac:dyDescent="0.2">
      <c r="A11" s="1"/>
      <c r="B11" s="14" t="s">
        <v>12</v>
      </c>
      <c r="C11" s="138">
        <v>40444</v>
      </c>
    </row>
    <row r="12" spans="1:4" s="12" customFormat="1" ht="24" customHeight="1" x14ac:dyDescent="0.2">
      <c r="A12" s="1"/>
      <c r="B12" s="14" t="s">
        <v>13</v>
      </c>
      <c r="C12" s="138">
        <v>40444</v>
      </c>
    </row>
    <row r="13" spans="1:4" s="12" customFormat="1" ht="24" customHeight="1" x14ac:dyDescent="0.2">
      <c r="A13" s="1"/>
      <c r="B13" s="14" t="s">
        <v>14</v>
      </c>
      <c r="C13" s="18">
        <f>IF(C12=0,"",40700/C12*60)</f>
        <v>60.379784393235091</v>
      </c>
    </row>
    <row r="14" spans="1:4" s="12" customFormat="1" ht="24" customHeight="1" x14ac:dyDescent="0.2">
      <c r="A14" s="1"/>
      <c r="B14" s="14" t="s">
        <v>15</v>
      </c>
      <c r="C14" s="15">
        <f>IF(C12=0,"",40700/C12*15)</f>
        <v>15.094946098308773</v>
      </c>
      <c r="D14" s="16"/>
    </row>
    <row r="15" spans="1:4" s="12" customFormat="1" ht="24" customHeight="1" x14ac:dyDescent="0.2">
      <c r="A15" s="1"/>
      <c r="B15" s="14" t="s">
        <v>16</v>
      </c>
      <c r="C15" s="371" t="s">
        <v>242</v>
      </c>
    </row>
    <row r="16" spans="1:4" s="12" customFormat="1" ht="24" customHeight="1" x14ac:dyDescent="0.2">
      <c r="A16" s="1">
        <v>6</v>
      </c>
      <c r="B16" s="11" t="s">
        <v>17</v>
      </c>
      <c r="C16" s="13"/>
    </row>
    <row r="17" spans="1:3" s="12" customFormat="1" ht="24" customHeight="1" x14ac:dyDescent="0.2">
      <c r="A17" s="1"/>
      <c r="B17" s="14" t="s">
        <v>18</v>
      </c>
      <c r="C17" s="371" t="s">
        <v>242</v>
      </c>
    </row>
    <row r="18" spans="1:3" s="12" customFormat="1" ht="24" customHeight="1" x14ac:dyDescent="0.2">
      <c r="A18" s="1"/>
      <c r="B18" s="14" t="s">
        <v>19</v>
      </c>
      <c r="C18" s="371" t="s">
        <v>242</v>
      </c>
    </row>
    <row r="19" spans="1:3" s="12" customFormat="1" ht="24" customHeight="1" x14ac:dyDescent="0.2">
      <c r="A19" s="1"/>
      <c r="B19" s="14" t="s">
        <v>20</v>
      </c>
      <c r="C19" s="371" t="s">
        <v>242</v>
      </c>
    </row>
    <row r="20" spans="1:3" s="12" customFormat="1" ht="24" customHeight="1" x14ac:dyDescent="0.2">
      <c r="A20" s="1"/>
      <c r="B20" s="14" t="s">
        <v>21</v>
      </c>
      <c r="C20" s="371" t="s">
        <v>242</v>
      </c>
    </row>
    <row r="21" spans="1:3" s="12" customFormat="1" ht="24" customHeight="1" x14ac:dyDescent="0.2">
      <c r="A21" s="1">
        <v>7</v>
      </c>
      <c r="B21" s="2" t="s">
        <v>22</v>
      </c>
      <c r="C21" s="371" t="s">
        <v>242</v>
      </c>
    </row>
    <row r="22" spans="1:3" s="12" customFormat="1" ht="24" customHeight="1" x14ac:dyDescent="0.2">
      <c r="A22" s="1">
        <v>8</v>
      </c>
      <c r="B22" s="2" t="s">
        <v>23</v>
      </c>
      <c r="C22" s="371" t="s">
        <v>242</v>
      </c>
    </row>
    <row r="23" spans="1:3" s="12" customFormat="1" ht="24" customHeight="1" x14ac:dyDescent="0.2">
      <c r="A23" s="1">
        <v>9</v>
      </c>
      <c r="B23" s="17" t="s">
        <v>24</v>
      </c>
      <c r="C23" s="371" t="s">
        <v>242</v>
      </c>
    </row>
    <row r="24" spans="1:3" s="12" customFormat="1" ht="24" customHeight="1" x14ac:dyDescent="0.2">
      <c r="A24" s="1">
        <v>10</v>
      </c>
      <c r="B24" s="11" t="s">
        <v>25</v>
      </c>
      <c r="C24" s="371" t="s">
        <v>242</v>
      </c>
    </row>
    <row r="25" spans="1:3" s="12" customFormat="1" ht="24" customHeight="1" x14ac:dyDescent="0.2">
      <c r="A25" s="1">
        <v>11</v>
      </c>
      <c r="B25" s="2" t="s">
        <v>26</v>
      </c>
      <c r="C25" s="371" t="s">
        <v>242</v>
      </c>
    </row>
    <row r="26" spans="1:3" s="12" customFormat="1" ht="24" customHeight="1" x14ac:dyDescent="0.2">
      <c r="A26" s="1">
        <v>12</v>
      </c>
      <c r="B26" s="2" t="s">
        <v>35</v>
      </c>
      <c r="C26" s="371" t="s">
        <v>242</v>
      </c>
    </row>
    <row r="27" spans="1:3" s="12" customFormat="1" ht="24" customHeight="1" x14ac:dyDescent="0.2">
      <c r="A27" s="1">
        <v>13</v>
      </c>
      <c r="B27" s="2" t="s">
        <v>27</v>
      </c>
      <c r="C27" s="13"/>
    </row>
    <row r="28" spans="1:3" s="12" customFormat="1" ht="24" customHeight="1" x14ac:dyDescent="0.2">
      <c r="A28" s="1"/>
      <c r="B28" s="14" t="s">
        <v>28</v>
      </c>
      <c r="C28" s="372">
        <v>200</v>
      </c>
    </row>
    <row r="29" spans="1:3" s="12" customFormat="1" ht="24" customHeight="1" x14ac:dyDescent="0.2">
      <c r="A29" s="1"/>
      <c r="B29" s="14" t="s">
        <v>29</v>
      </c>
      <c r="C29" s="372">
        <v>180</v>
      </c>
    </row>
    <row r="30" spans="1:3" s="12" customFormat="1" ht="24" customHeight="1" x14ac:dyDescent="0.2">
      <c r="A30" s="1"/>
      <c r="B30" s="14" t="s">
        <v>30</v>
      </c>
      <c r="C30" s="372">
        <v>220</v>
      </c>
    </row>
    <row r="31" spans="1:3" s="12" customFormat="1" ht="24" customHeight="1" x14ac:dyDescent="0.2">
      <c r="A31" s="1"/>
      <c r="B31" s="14" t="s">
        <v>31</v>
      </c>
      <c r="C31" s="138">
        <v>200</v>
      </c>
    </row>
    <row r="32" spans="1:3" s="12" customFormat="1" ht="24" customHeight="1" x14ac:dyDescent="0.2">
      <c r="A32" s="1">
        <v>14</v>
      </c>
      <c r="B32" s="11" t="s">
        <v>32</v>
      </c>
      <c r="C32" s="294"/>
    </row>
    <row r="33" spans="1:3" s="12" customFormat="1" ht="24" customHeight="1" x14ac:dyDescent="0.2">
      <c r="A33" s="1"/>
      <c r="B33" s="14" t="s">
        <v>33</v>
      </c>
      <c r="C33" s="18">
        <f>IF(C12=0,"",40700/C12*60)</f>
        <v>60.379784393235091</v>
      </c>
    </row>
    <row r="34" spans="1:3" s="12" customFormat="1" ht="24" customHeight="1" thickBot="1" x14ac:dyDescent="0.25">
      <c r="A34" s="1"/>
      <c r="B34" s="14" t="s">
        <v>34</v>
      </c>
      <c r="C34" s="139">
        <v>61.06</v>
      </c>
    </row>
    <row r="35" spans="1:3" s="12" customFormat="1" ht="24" customHeight="1" thickBot="1" x14ac:dyDescent="0.25">
      <c r="A35" s="360" t="s">
        <v>5</v>
      </c>
      <c r="B35" s="361"/>
      <c r="C35" s="136" t="s">
        <v>243</v>
      </c>
    </row>
    <row r="36" spans="1:3" s="12" customFormat="1" ht="23.25" customHeight="1" thickTop="1" x14ac:dyDescent="0.2">
      <c r="A36" s="11"/>
      <c r="B36" s="11"/>
    </row>
    <row r="37" spans="1:3" s="12" customFormat="1" ht="16.5" customHeight="1" x14ac:dyDescent="0.2">
      <c r="A37" s="11"/>
    </row>
    <row r="38" spans="1:3" s="12" customFormat="1" ht="16.5" customHeight="1" x14ac:dyDescent="0.2">
      <c r="A38" s="11"/>
      <c r="B38" s="11"/>
    </row>
    <row r="39" spans="1:3" s="12" customFormat="1" ht="16.5" customHeight="1" x14ac:dyDescent="0.2">
      <c r="A39" s="11"/>
      <c r="B39" s="11"/>
    </row>
    <row r="40" spans="1:3" s="12" customFormat="1" ht="16.5" customHeight="1" x14ac:dyDescent="0.2">
      <c r="A40" s="11"/>
      <c r="B40" s="11"/>
    </row>
    <row r="41" spans="1:3" s="12" customFormat="1" ht="16.5" customHeight="1" x14ac:dyDescent="0.2">
      <c r="A41" s="11"/>
      <c r="B41" s="11"/>
    </row>
    <row r="42" spans="1:3" s="12" customFormat="1" ht="16.5" customHeight="1" x14ac:dyDescent="0.2">
      <c r="A42" s="11"/>
      <c r="B42" s="11"/>
    </row>
    <row r="43" spans="1:3" s="12" customFormat="1" ht="16.5" customHeight="1" x14ac:dyDescent="0.2">
      <c r="A43" s="11"/>
      <c r="B43" s="11"/>
    </row>
    <row r="44" spans="1:3" s="12" customFormat="1" ht="16.5" customHeight="1" x14ac:dyDescent="0.2">
      <c r="A44" s="11"/>
      <c r="B44" s="11"/>
    </row>
    <row r="45" spans="1:3" s="12" customFormat="1" ht="16.5" customHeight="1" x14ac:dyDescent="0.2">
      <c r="A45" s="11"/>
      <c r="B45" s="11"/>
    </row>
    <row r="46" spans="1:3" s="20" customFormat="1" ht="12" x14ac:dyDescent="0.2">
      <c r="A46" s="19"/>
      <c r="B46" s="19"/>
    </row>
    <row r="47" spans="1:3" s="20" customFormat="1" ht="12" x14ac:dyDescent="0.2">
      <c r="A47" s="19"/>
      <c r="B47" s="19"/>
    </row>
    <row r="48" spans="1:3" s="20" customFormat="1" ht="12" x14ac:dyDescent="0.2">
      <c r="A48" s="19"/>
      <c r="B48" s="19"/>
    </row>
    <row r="49" spans="1:2" s="20" customFormat="1" ht="12" x14ac:dyDescent="0.2">
      <c r="A49" s="19"/>
      <c r="B49" s="19"/>
    </row>
    <row r="50" spans="1:2" s="20" customFormat="1" ht="12" x14ac:dyDescent="0.2">
      <c r="A50" s="19"/>
      <c r="B50" s="19"/>
    </row>
    <row r="51" spans="1:2" s="20" customFormat="1" ht="12" x14ac:dyDescent="0.2">
      <c r="A51" s="19"/>
      <c r="B51" s="19"/>
    </row>
    <row r="52" spans="1:2" s="20" customFormat="1" ht="12" x14ac:dyDescent="0.2">
      <c r="A52" s="19"/>
      <c r="B52" s="19"/>
    </row>
    <row r="53" spans="1:2" s="20" customFormat="1" ht="12" x14ac:dyDescent="0.2">
      <c r="A53" s="19"/>
      <c r="B53" s="19"/>
    </row>
    <row r="54" spans="1:2" s="20" customFormat="1" ht="12" x14ac:dyDescent="0.2">
      <c r="A54" s="19"/>
      <c r="B54" s="19"/>
    </row>
    <row r="55" spans="1:2" s="20" customFormat="1" ht="12" x14ac:dyDescent="0.2">
      <c r="A55" s="19"/>
      <c r="B55" s="19"/>
    </row>
    <row r="56" spans="1:2" s="20" customFormat="1" ht="12" x14ac:dyDescent="0.2">
      <c r="A56" s="19"/>
      <c r="B56" s="19"/>
    </row>
  </sheetData>
  <mergeCells count="4">
    <mergeCell ref="A1:C1"/>
    <mergeCell ref="A2:C2"/>
    <mergeCell ref="A4:B4"/>
    <mergeCell ref="A35:B35"/>
  </mergeCells>
  <phoneticPr fontId="79" type="noConversion"/>
  <pageMargins left="0.75" right="0.5" top="1" bottom="1" header="0.5" footer="0.5"/>
  <pageSetup scale="81"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sqref="A1:XFD1048576"/>
    </sheetView>
  </sheetViews>
  <sheetFormatPr defaultRowHeight="12.75" x14ac:dyDescent="0.2"/>
  <cols>
    <col min="1" max="1" width="30.85546875" customWidth="1"/>
    <col min="2" max="2" width="27.85546875" customWidth="1"/>
    <col min="3" max="3" width="17.85546875" style="5" customWidth="1"/>
    <col min="4" max="4" width="14.140625" customWidth="1"/>
  </cols>
  <sheetData>
    <row r="1" spans="1:4" ht="18" x14ac:dyDescent="0.25">
      <c r="A1" s="357" t="s">
        <v>0</v>
      </c>
      <c r="B1" s="357"/>
    </row>
    <row r="2" spans="1:4" ht="18" x14ac:dyDescent="0.25">
      <c r="A2" s="357" t="s">
        <v>40</v>
      </c>
      <c r="B2" s="357"/>
    </row>
    <row r="4" spans="1:4" s="21" customFormat="1" ht="18" customHeight="1" x14ac:dyDescent="0.2">
      <c r="A4" s="363" t="s">
        <v>146</v>
      </c>
      <c r="B4" s="22" t="s">
        <v>147</v>
      </c>
      <c r="C4" s="215" t="s">
        <v>244</v>
      </c>
    </row>
    <row r="5" spans="1:4" s="21" customFormat="1" ht="18" customHeight="1" x14ac:dyDescent="0.2">
      <c r="A5" s="363"/>
      <c r="B5" s="22" t="s">
        <v>41</v>
      </c>
      <c r="C5" s="23">
        <v>1</v>
      </c>
    </row>
    <row r="6" spans="1:4" s="21" customFormat="1" ht="18" customHeight="1" x14ac:dyDescent="0.2">
      <c r="A6" s="363"/>
      <c r="B6" s="22" t="s">
        <v>42</v>
      </c>
      <c r="C6" s="23">
        <v>200</v>
      </c>
    </row>
    <row r="7" spans="1:4" s="21" customFormat="1" ht="18" customHeight="1" x14ac:dyDescent="0.2">
      <c r="A7" s="363"/>
      <c r="B7" s="22" t="s">
        <v>148</v>
      </c>
      <c r="C7" s="23">
        <v>30</v>
      </c>
    </row>
    <row r="8" spans="1:4" s="21" customFormat="1" ht="18" customHeight="1" x14ac:dyDescent="0.2">
      <c r="A8" s="363" t="s">
        <v>141</v>
      </c>
      <c r="B8" s="22" t="s">
        <v>143</v>
      </c>
      <c r="C8" s="207">
        <v>30.2</v>
      </c>
    </row>
    <row r="9" spans="1:4" s="21" customFormat="1" ht="18" customHeight="1" x14ac:dyDescent="0.2">
      <c r="A9" s="363"/>
      <c r="B9" s="22" t="s">
        <v>142</v>
      </c>
      <c r="C9" s="207">
        <v>0.33900000000000002</v>
      </c>
    </row>
    <row r="10" spans="1:4" s="21" customFormat="1" ht="18" customHeight="1" x14ac:dyDescent="0.2">
      <c r="A10" s="363"/>
      <c r="B10" s="206" t="s">
        <v>138</v>
      </c>
      <c r="C10" s="207">
        <v>40421</v>
      </c>
    </row>
    <row r="11" spans="1:4" s="21" customFormat="1" ht="18" customHeight="1" x14ac:dyDescent="0.2">
      <c r="B11" s="202"/>
      <c r="C11" s="203"/>
    </row>
    <row r="12" spans="1:4" s="21" customFormat="1" ht="18" customHeight="1" x14ac:dyDescent="0.2">
      <c r="A12" s="362" t="s">
        <v>137</v>
      </c>
      <c r="B12" s="22" t="s">
        <v>139</v>
      </c>
      <c r="C12" s="207">
        <v>1</v>
      </c>
    </row>
    <row r="13" spans="1:4" s="21" customFormat="1" ht="18" customHeight="1" x14ac:dyDescent="0.2">
      <c r="A13" s="362"/>
      <c r="B13" s="22" t="s">
        <v>140</v>
      </c>
      <c r="C13" s="207">
        <v>200</v>
      </c>
    </row>
    <row r="14" spans="1:4" s="21" customFormat="1" ht="18" customHeight="1" x14ac:dyDescent="0.2">
      <c r="A14" s="362"/>
      <c r="B14" s="22" t="s">
        <v>144</v>
      </c>
      <c r="C14" s="207">
        <v>15.4</v>
      </c>
    </row>
    <row r="15" spans="1:4" s="21" customFormat="1" ht="18" customHeight="1" x14ac:dyDescent="0.2">
      <c r="A15" s="305" t="s">
        <v>149</v>
      </c>
      <c r="B15" s="22" t="s">
        <v>144</v>
      </c>
      <c r="C15" s="207">
        <v>15.4</v>
      </c>
      <c r="D15" s="216" t="str">
        <f>IF(C15="","",(IF(C14=C15,"PASS","FAIL")))</f>
        <v>PASS</v>
      </c>
    </row>
    <row r="16" spans="1:4" ht="18" customHeight="1" x14ac:dyDescent="0.2"/>
    <row r="17" spans="1:6" ht="18" customHeight="1" x14ac:dyDescent="0.2">
      <c r="A17" s="362" t="s">
        <v>150</v>
      </c>
      <c r="B17" s="22" t="s">
        <v>151</v>
      </c>
      <c r="C17" s="207">
        <v>14.8</v>
      </c>
      <c r="D17" s="216" t="str">
        <f>IF(C17="","",(IF(C8-C15=C17,"PASS","FAIL")))</f>
        <v>PASS</v>
      </c>
    </row>
    <row r="18" spans="1:6" ht="18" customHeight="1" x14ac:dyDescent="0.2">
      <c r="A18" s="362"/>
      <c r="B18" s="22" t="s">
        <v>142</v>
      </c>
      <c r="C18" s="207">
        <v>0.16600000000000001</v>
      </c>
    </row>
    <row r="19" spans="1:6" ht="18" customHeight="1" x14ac:dyDescent="0.2">
      <c r="A19" s="208"/>
      <c r="B19" s="202"/>
      <c r="C19" s="203"/>
    </row>
    <row r="20" spans="1:6" ht="18" customHeight="1" x14ac:dyDescent="0.2">
      <c r="A20" s="362" t="s">
        <v>152</v>
      </c>
      <c r="B20" s="22" t="s">
        <v>147</v>
      </c>
      <c r="C20" s="215" t="s">
        <v>245</v>
      </c>
    </row>
    <row r="21" spans="1:6" ht="18" customHeight="1" x14ac:dyDescent="0.2">
      <c r="A21" s="362"/>
      <c r="B21" s="22" t="s">
        <v>41</v>
      </c>
      <c r="C21" s="23">
        <v>1</v>
      </c>
    </row>
    <row r="22" spans="1:6" ht="18" customHeight="1" x14ac:dyDescent="0.2">
      <c r="A22" s="362"/>
      <c r="B22" s="22" t="s">
        <v>42</v>
      </c>
      <c r="C22" s="23">
        <v>200</v>
      </c>
    </row>
    <row r="23" spans="1:6" ht="18" customHeight="1" x14ac:dyDescent="0.2">
      <c r="A23" s="362"/>
      <c r="B23" s="22" t="s">
        <v>153</v>
      </c>
      <c r="C23" s="209">
        <f>IF(C17="","",(C8-C17)*C10/40700)</f>
        <v>15.29443243243243</v>
      </c>
    </row>
    <row r="24" spans="1:6" ht="18" customHeight="1" x14ac:dyDescent="0.2">
      <c r="A24" s="363" t="s">
        <v>141</v>
      </c>
      <c r="B24" s="22" t="s">
        <v>151</v>
      </c>
      <c r="C24" s="217">
        <v>15.5</v>
      </c>
      <c r="D24" s="216" t="str">
        <f>IF(C24="","",(IF(ABS(C15-C24)&lt;0.2,"PASS","FAIL")))</f>
        <v>PASS</v>
      </c>
      <c r="E24" t="s">
        <v>246</v>
      </c>
    </row>
    <row r="25" spans="1:6" ht="18" customHeight="1" x14ac:dyDescent="0.2">
      <c r="A25" s="363"/>
      <c r="B25" s="22" t="s">
        <v>142</v>
      </c>
      <c r="C25" s="207">
        <v>0.17399999999999999</v>
      </c>
      <c r="D25" s="216" t="str">
        <f>IF(C25="","",(IF(ABS(C25-(C9-C18))&lt;0.002,"PASS","FAIL")))</f>
        <v>PASS</v>
      </c>
    </row>
    <row r="26" spans="1:6" ht="18" customHeight="1" x14ac:dyDescent="0.2">
      <c r="A26" s="210"/>
      <c r="B26" s="211"/>
      <c r="C26" s="212"/>
    </row>
    <row r="27" spans="1:6" x14ac:dyDescent="0.2">
      <c r="A27" s="362" t="s">
        <v>154</v>
      </c>
      <c r="B27" s="22" t="s">
        <v>151</v>
      </c>
      <c r="C27" s="217">
        <v>15.5</v>
      </c>
      <c r="D27" s="216" t="str">
        <f>IF(C27="","",(IF(C24=C27,"PASS","FAIL")))</f>
        <v>PASS</v>
      </c>
    </row>
    <row r="28" spans="1:6" ht="18" customHeight="1" x14ac:dyDescent="0.2">
      <c r="A28" s="362"/>
      <c r="B28" s="22" t="s">
        <v>142</v>
      </c>
      <c r="C28" s="207">
        <v>0.17399999999999999</v>
      </c>
      <c r="D28" s="216" t="str">
        <f>IF(C28="","",(IF(ABS(C9-(C28+C18))&lt;0.002,"PASS","FAIL")))</f>
        <v>PASS</v>
      </c>
    </row>
    <row r="29" spans="1:6" ht="18" customHeight="1" x14ac:dyDescent="0.2">
      <c r="A29" s="21"/>
      <c r="B29" s="21"/>
      <c r="C29" s="203"/>
      <c r="D29" s="213"/>
      <c r="F29" s="214"/>
    </row>
    <row r="30" spans="1:6" ht="18" customHeight="1" x14ac:dyDescent="0.2">
      <c r="A30" s="205" t="s">
        <v>155</v>
      </c>
      <c r="B30" s="207" t="s">
        <v>240</v>
      </c>
      <c r="C30" s="204"/>
    </row>
    <row r="31" spans="1:6" ht="18" customHeight="1" x14ac:dyDescent="0.2"/>
    <row r="32" spans="1:6" ht="18" customHeight="1" x14ac:dyDescent="0.2"/>
    <row r="33" spans="3:3" x14ac:dyDescent="0.2">
      <c r="C33"/>
    </row>
    <row r="34" spans="3:3" ht="18" customHeight="1" x14ac:dyDescent="0.2">
      <c r="C34"/>
    </row>
    <row r="35" spans="3:3" ht="18" customHeight="1" x14ac:dyDescent="0.2">
      <c r="C35"/>
    </row>
    <row r="37" spans="3:3" x14ac:dyDescent="0.2">
      <c r="C37"/>
    </row>
    <row r="38" spans="3:3" x14ac:dyDescent="0.2">
      <c r="C38"/>
    </row>
  </sheetData>
  <mergeCells count="9">
    <mergeCell ref="A1:B1"/>
    <mergeCell ref="A2:B2"/>
    <mergeCell ref="A4:A7"/>
    <mergeCell ref="A8:A10"/>
    <mergeCell ref="A27:A28"/>
    <mergeCell ref="A17:A18"/>
    <mergeCell ref="A20:A23"/>
    <mergeCell ref="A24:A25"/>
    <mergeCell ref="A12:A14"/>
  </mergeCells>
  <phoneticPr fontId="79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workbookViewId="0">
      <selection sqref="A1:XFD1048576"/>
    </sheetView>
  </sheetViews>
  <sheetFormatPr defaultRowHeight="15" x14ac:dyDescent="0.25"/>
  <cols>
    <col min="1" max="1" width="4" style="220" customWidth="1"/>
    <col min="2" max="2" width="46.7109375" style="220" customWidth="1"/>
    <col min="3" max="3" width="8.28515625" style="250" customWidth="1"/>
    <col min="4" max="5" width="18.85546875" style="220" customWidth="1"/>
    <col min="6" max="16384" width="9.140625" style="220"/>
  </cols>
  <sheetData>
    <row r="1" spans="1:23" ht="18" x14ac:dyDescent="0.25">
      <c r="A1" s="218" t="s">
        <v>0</v>
      </c>
      <c r="B1" s="218"/>
      <c r="C1" s="219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</row>
    <row r="2" spans="1:23" ht="18" x14ac:dyDescent="0.25">
      <c r="A2" s="218" t="s">
        <v>157</v>
      </c>
      <c r="B2" s="218"/>
      <c r="C2" s="219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</row>
    <row r="3" spans="1:23" ht="18.75" thickBot="1" x14ac:dyDescent="0.3">
      <c r="A3" s="218"/>
      <c r="B3" s="218"/>
      <c r="C3" s="219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</row>
    <row r="4" spans="1:23" s="225" customFormat="1" ht="21" customHeight="1" thickTop="1" thickBot="1" x14ac:dyDescent="0.3">
      <c r="A4" s="221"/>
      <c r="B4" s="221"/>
      <c r="C4" s="222"/>
      <c r="D4" s="223" t="s">
        <v>158</v>
      </c>
      <c r="E4" s="224" t="s">
        <v>159</v>
      </c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</row>
    <row r="5" spans="1:23" ht="21" customHeight="1" thickTop="1" x14ac:dyDescent="0.25">
      <c r="A5" s="226">
        <v>1</v>
      </c>
      <c r="B5" s="227" t="s">
        <v>160</v>
      </c>
      <c r="C5" s="228" t="s">
        <v>161</v>
      </c>
      <c r="D5" s="229"/>
      <c r="E5" s="230"/>
    </row>
    <row r="6" spans="1:23" ht="21" customHeight="1" x14ac:dyDescent="0.25">
      <c r="A6" s="231">
        <v>2</v>
      </c>
      <c r="B6" s="232" t="s">
        <v>162</v>
      </c>
      <c r="C6" s="233" t="s">
        <v>161</v>
      </c>
      <c r="D6" s="251"/>
      <c r="E6" s="234"/>
    </row>
    <row r="7" spans="1:23" ht="21" customHeight="1" x14ac:dyDescent="0.25">
      <c r="A7" s="231">
        <v>3</v>
      </c>
      <c r="B7" s="232" t="s">
        <v>163</v>
      </c>
      <c r="C7" s="233"/>
      <c r="D7" s="235"/>
      <c r="E7" s="236"/>
    </row>
    <row r="8" spans="1:23" ht="21" customHeight="1" x14ac:dyDescent="0.25">
      <c r="A8" s="231"/>
      <c r="B8" s="237" t="s">
        <v>164</v>
      </c>
      <c r="C8" s="233" t="s">
        <v>165</v>
      </c>
      <c r="D8" s="238"/>
      <c r="E8" s="234"/>
    </row>
    <row r="9" spans="1:23" ht="21" customHeight="1" x14ac:dyDescent="0.25">
      <c r="A9" s="231"/>
      <c r="B9" s="237" t="s">
        <v>166</v>
      </c>
      <c r="C9" s="233" t="s">
        <v>165</v>
      </c>
      <c r="D9" s="238"/>
      <c r="E9" s="234"/>
    </row>
    <row r="10" spans="1:23" ht="21" customHeight="1" x14ac:dyDescent="0.25">
      <c r="A10" s="231">
        <v>4</v>
      </c>
      <c r="B10" s="232" t="s">
        <v>167</v>
      </c>
      <c r="C10" s="233"/>
      <c r="D10" s="235"/>
      <c r="E10" s="236"/>
    </row>
    <row r="11" spans="1:23" ht="21" customHeight="1" x14ac:dyDescent="0.25">
      <c r="A11" s="239"/>
      <c r="B11" s="237" t="s">
        <v>164</v>
      </c>
      <c r="C11" s="233" t="s">
        <v>165</v>
      </c>
      <c r="D11" s="238"/>
      <c r="E11" s="240"/>
    </row>
    <row r="12" spans="1:23" ht="21" customHeight="1" x14ac:dyDescent="0.25">
      <c r="A12" s="239"/>
      <c r="B12" s="237" t="s">
        <v>166</v>
      </c>
      <c r="C12" s="233" t="s">
        <v>165</v>
      </c>
      <c r="D12" s="238"/>
      <c r="E12" s="240"/>
    </row>
    <row r="13" spans="1:23" ht="21" customHeight="1" x14ac:dyDescent="0.25">
      <c r="A13" s="239">
        <v>5</v>
      </c>
      <c r="B13" s="241" t="s">
        <v>168</v>
      </c>
      <c r="C13" s="242"/>
      <c r="D13" s="235"/>
      <c r="E13" s="243"/>
    </row>
    <row r="14" spans="1:23" ht="21" customHeight="1" x14ac:dyDescent="0.25">
      <c r="A14" s="239"/>
      <c r="B14" s="244" t="s">
        <v>169</v>
      </c>
      <c r="C14" s="233" t="s">
        <v>165</v>
      </c>
      <c r="D14" s="238"/>
      <c r="E14" s="240"/>
    </row>
    <row r="15" spans="1:23" ht="21" customHeight="1" x14ac:dyDescent="0.25">
      <c r="A15" s="239"/>
      <c r="B15" s="244" t="s">
        <v>170</v>
      </c>
      <c r="C15" s="233" t="s">
        <v>165</v>
      </c>
      <c r="D15" s="238"/>
      <c r="E15" s="240"/>
    </row>
    <row r="16" spans="1:23" ht="21" customHeight="1" thickBot="1" x14ac:dyDescent="0.3">
      <c r="A16" s="245"/>
      <c r="B16" s="246" t="s">
        <v>171</v>
      </c>
      <c r="C16" s="247" t="s">
        <v>165</v>
      </c>
      <c r="D16" s="248"/>
      <c r="E16" s="249"/>
    </row>
    <row r="17" s="220" customFormat="1" ht="15.75" thickTop="1" x14ac:dyDescent="0.25"/>
  </sheetData>
  <phoneticPr fontId="79" type="noConversion"/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P23" sqref="P23"/>
    </sheetView>
  </sheetViews>
  <sheetFormatPr defaultRowHeight="16.5" x14ac:dyDescent="0.25"/>
  <cols>
    <col min="1" max="1" width="14.85546875" style="287" customWidth="1"/>
    <col min="2" max="2" width="6" style="287" customWidth="1"/>
    <col min="3" max="3" width="8.85546875" style="287" customWidth="1"/>
    <col min="4" max="4" width="14.7109375" style="287" customWidth="1"/>
    <col min="5" max="5" width="7.7109375" style="287" customWidth="1"/>
    <col min="6" max="6" width="14.7109375" style="287" customWidth="1"/>
    <col min="7" max="7" width="2.7109375" style="287" customWidth="1"/>
    <col min="8" max="8" width="14.7109375" style="287" customWidth="1"/>
    <col min="9" max="9" width="16.85546875" style="287" customWidth="1"/>
    <col min="10" max="16384" width="9.140625" style="266"/>
  </cols>
  <sheetData>
    <row r="1" spans="1:9" ht="20.25" x14ac:dyDescent="0.25">
      <c r="A1" s="324" t="s">
        <v>210</v>
      </c>
      <c r="B1" s="324"/>
      <c r="C1" s="324"/>
      <c r="D1" s="324"/>
      <c r="E1" s="324"/>
      <c r="F1" s="324"/>
      <c r="G1" s="324"/>
      <c r="H1" s="324"/>
      <c r="I1" s="324"/>
    </row>
    <row r="3" spans="1:9" x14ac:dyDescent="0.25">
      <c r="A3" s="267" t="s">
        <v>211</v>
      </c>
      <c r="B3" s="325">
        <v>43269</v>
      </c>
      <c r="C3" s="315"/>
      <c r="D3" s="267"/>
      <c r="E3" s="267"/>
      <c r="F3" s="317" t="s">
        <v>126</v>
      </c>
      <c r="G3" s="317"/>
      <c r="H3" s="317"/>
      <c r="I3" s="296">
        <v>39</v>
      </c>
    </row>
    <row r="4" spans="1:9" x14ac:dyDescent="0.25">
      <c r="A4" s="267"/>
      <c r="B4" s="267"/>
      <c r="C4" s="267"/>
      <c r="D4" s="267"/>
      <c r="E4" s="267"/>
      <c r="F4" s="267"/>
      <c r="G4" s="267"/>
      <c r="H4" s="267"/>
      <c r="I4" s="267"/>
    </row>
    <row r="5" spans="1:9" ht="18.75" x14ac:dyDescent="0.25">
      <c r="A5" s="268" t="s">
        <v>174</v>
      </c>
      <c r="B5" s="267"/>
      <c r="C5" s="267"/>
      <c r="D5" s="267"/>
      <c r="E5" s="267"/>
      <c r="F5" s="267"/>
      <c r="G5" s="267"/>
      <c r="H5" s="267"/>
      <c r="I5" s="267"/>
    </row>
    <row r="6" spans="1:9" x14ac:dyDescent="0.25">
      <c r="A6" s="267" t="s">
        <v>175</v>
      </c>
      <c r="B6" s="373" t="s">
        <v>247</v>
      </c>
      <c r="C6" s="373"/>
      <c r="D6" s="267"/>
      <c r="E6" s="267"/>
      <c r="F6" s="317" t="s">
        <v>224</v>
      </c>
      <c r="G6" s="317"/>
      <c r="H6" s="317"/>
      <c r="I6" s="374">
        <v>43152</v>
      </c>
    </row>
    <row r="7" spans="1:9" x14ac:dyDescent="0.25">
      <c r="A7" s="267" t="s">
        <v>176</v>
      </c>
      <c r="B7" s="375" t="s">
        <v>228</v>
      </c>
      <c r="C7" s="375"/>
      <c r="D7" s="267"/>
      <c r="E7" s="267"/>
      <c r="F7" s="317" t="s">
        <v>225</v>
      </c>
      <c r="G7" s="317"/>
      <c r="H7" s="317"/>
      <c r="I7" s="376" t="s">
        <v>229</v>
      </c>
    </row>
    <row r="8" spans="1:9" x14ac:dyDescent="0.25">
      <c r="A8" s="267"/>
      <c r="B8" s="267"/>
      <c r="C8" s="267"/>
      <c r="D8" s="267"/>
      <c r="E8" s="267"/>
      <c r="F8" s="267"/>
      <c r="G8" s="267"/>
      <c r="H8" s="267"/>
      <c r="I8" s="267"/>
    </row>
    <row r="9" spans="1:9" ht="20.25" customHeight="1" x14ac:dyDescent="0.25">
      <c r="A9" s="318" t="s">
        <v>212</v>
      </c>
      <c r="B9" s="319"/>
      <c r="C9" s="319"/>
      <c r="D9" s="319"/>
      <c r="E9" s="319"/>
      <c r="F9" s="319"/>
      <c r="G9" s="319"/>
      <c r="H9" s="319"/>
      <c r="I9" s="320"/>
    </row>
    <row r="10" spans="1:9" ht="15" x14ac:dyDescent="0.25">
      <c r="A10" s="321" t="s">
        <v>178</v>
      </c>
      <c r="B10" s="322"/>
      <c r="C10" s="322"/>
      <c r="D10" s="322"/>
      <c r="E10" s="322"/>
      <c r="F10" s="322"/>
      <c r="G10" s="322"/>
      <c r="H10" s="322"/>
      <c r="I10" s="323"/>
    </row>
    <row r="11" spans="1:9" x14ac:dyDescent="0.25">
      <c r="A11" s="269"/>
      <c r="B11" s="270"/>
      <c r="C11" s="270"/>
      <c r="D11" s="270"/>
      <c r="E11" s="270"/>
      <c r="F11" s="270"/>
      <c r="G11" s="270"/>
      <c r="H11" s="270"/>
      <c r="I11" s="271"/>
    </row>
    <row r="12" spans="1:9" x14ac:dyDescent="0.25">
      <c r="A12" s="272" t="s">
        <v>179</v>
      </c>
      <c r="B12" s="270"/>
      <c r="C12" s="270"/>
      <c r="D12" s="270"/>
      <c r="E12" s="270"/>
      <c r="F12" s="270"/>
      <c r="G12" s="270"/>
      <c r="H12" s="270"/>
      <c r="I12" s="271"/>
    </row>
    <row r="13" spans="1:9" x14ac:dyDescent="0.25">
      <c r="A13" s="273" t="s">
        <v>180</v>
      </c>
      <c r="B13" s="315" t="s">
        <v>230</v>
      </c>
      <c r="C13" s="315"/>
      <c r="D13" s="270"/>
      <c r="E13" s="274" t="s">
        <v>181</v>
      </c>
      <c r="F13" s="296">
        <v>1543</v>
      </c>
      <c r="G13" s="270"/>
      <c r="H13" s="270"/>
      <c r="I13" s="271"/>
    </row>
    <row r="14" spans="1:9" x14ac:dyDescent="0.25">
      <c r="A14" s="275"/>
      <c r="B14" s="276"/>
      <c r="C14" s="276"/>
      <c r="D14" s="276"/>
      <c r="E14" s="276"/>
      <c r="F14" s="276"/>
      <c r="G14" s="276"/>
      <c r="H14" s="276"/>
      <c r="I14" s="277"/>
    </row>
    <row r="15" spans="1:9" x14ac:dyDescent="0.25">
      <c r="A15" s="278" t="s">
        <v>182</v>
      </c>
      <c r="B15" s="276"/>
      <c r="C15" s="276"/>
      <c r="D15" s="276"/>
      <c r="E15" s="276"/>
      <c r="F15" s="276"/>
      <c r="G15" s="276"/>
      <c r="H15" s="276"/>
      <c r="I15" s="279" t="s">
        <v>183</v>
      </c>
    </row>
    <row r="16" spans="1:9" ht="21.75" customHeight="1" x14ac:dyDescent="0.25">
      <c r="A16" s="275"/>
      <c r="B16" s="308" t="s">
        <v>184</v>
      </c>
      <c r="C16" s="308"/>
      <c r="D16" s="308"/>
      <c r="E16" s="308"/>
      <c r="F16" s="308"/>
      <c r="G16" s="308"/>
      <c r="H16" s="308"/>
      <c r="I16" s="277"/>
    </row>
    <row r="17" spans="1:9" ht="34.5" customHeight="1" x14ac:dyDescent="0.25">
      <c r="A17" s="275"/>
      <c r="B17" s="314" t="s">
        <v>213</v>
      </c>
      <c r="C17" s="314"/>
      <c r="D17" s="314"/>
      <c r="E17" s="314"/>
      <c r="F17" s="314"/>
      <c r="G17" s="314"/>
      <c r="H17" s="314"/>
      <c r="I17" s="277"/>
    </row>
    <row r="18" spans="1:9" ht="21.75" customHeight="1" x14ac:dyDescent="0.25">
      <c r="A18" s="275"/>
      <c r="B18" s="308" t="s">
        <v>214</v>
      </c>
      <c r="C18" s="308"/>
      <c r="D18" s="308"/>
      <c r="E18" s="308"/>
      <c r="F18" s="308"/>
      <c r="G18" s="308"/>
      <c r="H18" s="308"/>
      <c r="I18" s="277"/>
    </row>
    <row r="19" spans="1:9" ht="21.75" customHeight="1" x14ac:dyDescent="0.25">
      <c r="A19" s="275"/>
      <c r="B19" s="308" t="s">
        <v>215</v>
      </c>
      <c r="C19" s="308"/>
      <c r="D19" s="308"/>
      <c r="E19" s="308"/>
      <c r="F19" s="308"/>
      <c r="G19" s="308"/>
      <c r="H19" s="308"/>
      <c r="I19" s="277"/>
    </row>
    <row r="20" spans="1:9" ht="13.5" customHeight="1" x14ac:dyDescent="0.25">
      <c r="A20" s="275"/>
      <c r="B20" s="276"/>
      <c r="C20" s="276"/>
      <c r="D20" s="276"/>
      <c r="E20" s="276"/>
      <c r="F20" s="276"/>
      <c r="G20" s="276"/>
      <c r="H20" s="276"/>
      <c r="I20" s="277"/>
    </row>
    <row r="21" spans="1:9" ht="33" x14ac:dyDescent="0.25">
      <c r="A21" s="275"/>
      <c r="B21" s="276"/>
      <c r="C21" s="276"/>
      <c r="D21" s="276"/>
      <c r="E21" s="276"/>
      <c r="F21" s="280" t="s">
        <v>187</v>
      </c>
      <c r="G21" s="280"/>
      <c r="H21" s="281" t="s">
        <v>222</v>
      </c>
      <c r="I21" s="279" t="s">
        <v>183</v>
      </c>
    </row>
    <row r="22" spans="1:9" x14ac:dyDescent="0.25">
      <c r="A22" s="278" t="s">
        <v>188</v>
      </c>
      <c r="B22" s="276"/>
      <c r="C22" s="276"/>
      <c r="D22" s="276"/>
      <c r="E22" s="276"/>
      <c r="F22" s="276"/>
      <c r="G22" s="276"/>
      <c r="H22" s="276"/>
      <c r="I22" s="277"/>
    </row>
    <row r="23" spans="1:9" ht="21.75" customHeight="1" x14ac:dyDescent="0.25">
      <c r="A23" s="307" t="s">
        <v>189</v>
      </c>
      <c r="B23" s="308"/>
      <c r="C23" s="308"/>
      <c r="D23" s="308"/>
      <c r="E23" s="308"/>
      <c r="F23" s="308"/>
      <c r="G23" s="297"/>
      <c r="H23" s="299">
        <v>46</v>
      </c>
      <c r="I23" s="277"/>
    </row>
    <row r="24" spans="1:9" ht="21.75" customHeight="1" x14ac:dyDescent="0.25">
      <c r="A24" s="307" t="s">
        <v>190</v>
      </c>
      <c r="B24" s="308"/>
      <c r="C24" s="308"/>
      <c r="D24" s="308"/>
      <c r="E24" s="308"/>
      <c r="F24" s="308"/>
      <c r="G24" s="297"/>
      <c r="H24" s="282">
        <v>1.7</v>
      </c>
      <c r="I24" s="277"/>
    </row>
    <row r="25" spans="1:9" ht="21.75" customHeight="1" x14ac:dyDescent="0.25">
      <c r="A25" s="307" t="s">
        <v>216</v>
      </c>
      <c r="B25" s="308"/>
      <c r="C25" s="308"/>
      <c r="D25" s="308"/>
      <c r="E25" s="308"/>
      <c r="F25" s="308"/>
      <c r="G25" s="297"/>
      <c r="H25" s="282" t="s">
        <v>248</v>
      </c>
      <c r="I25" s="277"/>
    </row>
    <row r="26" spans="1:9" ht="21.75" customHeight="1" x14ac:dyDescent="0.25">
      <c r="A26" s="307" t="s">
        <v>217</v>
      </c>
      <c r="B26" s="308"/>
      <c r="C26" s="308"/>
      <c r="D26" s="308"/>
      <c r="E26" s="308"/>
      <c r="F26" s="308"/>
      <c r="G26" s="297"/>
      <c r="H26" s="282"/>
      <c r="I26" s="277"/>
    </row>
    <row r="27" spans="1:9" ht="21" customHeight="1" x14ac:dyDescent="0.3">
      <c r="A27" s="307" t="s">
        <v>192</v>
      </c>
      <c r="B27" s="308"/>
      <c r="C27" s="308"/>
      <c r="D27" s="308"/>
      <c r="E27" s="308"/>
      <c r="F27" s="308"/>
      <c r="G27" s="297"/>
      <c r="H27" s="282" t="s">
        <v>249</v>
      </c>
      <c r="I27" s="283"/>
    </row>
    <row r="28" spans="1:9" ht="20.25" customHeight="1" x14ac:dyDescent="0.25">
      <c r="A28" s="310" t="s">
        <v>193</v>
      </c>
      <c r="B28" s="311"/>
      <c r="C28" s="311"/>
      <c r="D28" s="311"/>
      <c r="E28" s="311"/>
      <c r="F28" s="311"/>
      <c r="G28" s="297"/>
      <c r="H28" s="276"/>
      <c r="I28" s="277"/>
    </row>
    <row r="29" spans="1:9" ht="20.25" customHeight="1" x14ac:dyDescent="0.25">
      <c r="A29" s="307" t="s">
        <v>218</v>
      </c>
      <c r="B29" s="308"/>
      <c r="C29" s="308"/>
      <c r="D29" s="308"/>
      <c r="E29" s="308"/>
      <c r="F29" s="308"/>
      <c r="G29" s="297"/>
      <c r="H29" s="299">
        <v>0.2</v>
      </c>
      <c r="I29" s="277"/>
    </row>
    <row r="30" spans="1:9" x14ac:dyDescent="0.25">
      <c r="A30" s="275"/>
      <c r="B30" s="276"/>
      <c r="C30" s="276"/>
      <c r="D30" s="276"/>
      <c r="E30" s="276"/>
      <c r="F30" s="276"/>
      <c r="G30" s="276"/>
      <c r="H30" s="276"/>
      <c r="I30" s="277"/>
    </row>
    <row r="31" spans="1:9" x14ac:dyDescent="0.25">
      <c r="A31" s="278" t="s">
        <v>219</v>
      </c>
      <c r="B31" s="276"/>
      <c r="C31" s="276"/>
      <c r="D31" s="276"/>
      <c r="E31" s="276"/>
      <c r="F31" s="276"/>
      <c r="G31" s="276"/>
      <c r="H31" s="276"/>
      <c r="I31" s="277"/>
    </row>
    <row r="32" spans="1:9" ht="21" customHeight="1" x14ac:dyDescent="0.25">
      <c r="A32" s="364" t="s">
        <v>220</v>
      </c>
      <c r="B32" s="365"/>
      <c r="C32" s="365"/>
      <c r="D32" s="365"/>
      <c r="E32" s="365"/>
      <c r="F32" s="365"/>
      <c r="G32" s="365"/>
      <c r="H32" s="365"/>
      <c r="I32" s="366"/>
    </row>
    <row r="33" spans="1:9" ht="32.25" customHeight="1" x14ac:dyDescent="0.25">
      <c r="A33" s="367" t="s">
        <v>221</v>
      </c>
      <c r="B33" s="368"/>
      <c r="C33" s="368"/>
      <c r="D33" s="368"/>
      <c r="E33" s="368"/>
      <c r="F33" s="368"/>
      <c r="G33" s="368"/>
      <c r="H33" s="368"/>
      <c r="I33" s="369"/>
    </row>
    <row r="34" spans="1:9" ht="21" customHeight="1" x14ac:dyDescent="0.25">
      <c r="A34" s="286"/>
      <c r="B34" s="286"/>
      <c r="C34" s="286"/>
      <c r="D34" s="286"/>
      <c r="E34" s="286"/>
      <c r="F34" s="286"/>
    </row>
    <row r="35" spans="1:9" x14ac:dyDescent="0.25">
      <c r="A35" s="288" t="s">
        <v>197</v>
      </c>
      <c r="C35" s="309" t="s">
        <v>250</v>
      </c>
      <c r="D35" s="309"/>
      <c r="E35" s="276"/>
      <c r="G35" s="289" t="s">
        <v>198</v>
      </c>
      <c r="H35" s="352">
        <v>43265</v>
      </c>
      <c r="I35" s="352"/>
    </row>
  </sheetData>
  <mergeCells count="25">
    <mergeCell ref="B17:H17"/>
    <mergeCell ref="B18:H18"/>
    <mergeCell ref="B19:H19"/>
    <mergeCell ref="A23:F23"/>
    <mergeCell ref="A1:I1"/>
    <mergeCell ref="B3:C3"/>
    <mergeCell ref="F3:H3"/>
    <mergeCell ref="B6:C6"/>
    <mergeCell ref="F6:H6"/>
    <mergeCell ref="B7:C7"/>
    <mergeCell ref="F7:H7"/>
    <mergeCell ref="A32:I32"/>
    <mergeCell ref="A33:I33"/>
    <mergeCell ref="C35:D35"/>
    <mergeCell ref="A25:F25"/>
    <mergeCell ref="A26:F26"/>
    <mergeCell ref="A28:F28"/>
    <mergeCell ref="A29:F29"/>
    <mergeCell ref="A27:F27"/>
    <mergeCell ref="H35:I35"/>
    <mergeCell ref="A9:I9"/>
    <mergeCell ref="A10:I10"/>
    <mergeCell ref="A24:F24"/>
    <mergeCell ref="B13:C13"/>
    <mergeCell ref="B16:H16"/>
  </mergeCells>
  <phoneticPr fontId="79" type="noConversion"/>
  <pageMargins left="0.25" right="0.25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>
                  <from>
                    <xdr:col>8</xdr:col>
                    <xdr:colOff>38100</xdr:colOff>
                    <xdr:row>15</xdr:row>
                    <xdr:rowOff>38100</xdr:rowOff>
                  </from>
                  <to>
                    <xdr:col>8</xdr:col>
                    <xdr:colOff>342900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>
                  <from>
                    <xdr:col>8</xdr:col>
                    <xdr:colOff>657225</xdr:colOff>
                    <xdr:row>15</xdr:row>
                    <xdr:rowOff>38100</xdr:rowOff>
                  </from>
                  <to>
                    <xdr:col>8</xdr:col>
                    <xdr:colOff>962025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>
                <anchor moveWithCells="1">
                  <from>
                    <xdr:col>8</xdr:col>
                    <xdr:colOff>38100</xdr:colOff>
                    <xdr:row>16</xdr:row>
                    <xdr:rowOff>38100</xdr:rowOff>
                  </from>
                  <to>
                    <xdr:col>8</xdr:col>
                    <xdr:colOff>342900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>
                <anchor moveWithCells="1">
                  <from>
                    <xdr:col>8</xdr:col>
                    <xdr:colOff>657225</xdr:colOff>
                    <xdr:row>16</xdr:row>
                    <xdr:rowOff>38100</xdr:rowOff>
                  </from>
                  <to>
                    <xdr:col>8</xdr:col>
                    <xdr:colOff>962025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Check Box 5">
              <controlPr defaultSize="0" autoFill="0" autoLine="0" autoPict="0">
                <anchor moveWithCells="1">
                  <from>
                    <xdr:col>8</xdr:col>
                    <xdr:colOff>38100</xdr:colOff>
                    <xdr:row>17</xdr:row>
                    <xdr:rowOff>38100</xdr:rowOff>
                  </from>
                  <to>
                    <xdr:col>8</xdr:col>
                    <xdr:colOff>342900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Check Box 6">
              <controlPr defaultSize="0" autoFill="0" autoLine="0" autoPict="0">
                <anchor moveWithCells="1">
                  <from>
                    <xdr:col>8</xdr:col>
                    <xdr:colOff>657225</xdr:colOff>
                    <xdr:row>17</xdr:row>
                    <xdr:rowOff>38100</xdr:rowOff>
                  </from>
                  <to>
                    <xdr:col>8</xdr:col>
                    <xdr:colOff>962025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Check Box 7">
              <controlPr defaultSize="0" autoFill="0" autoLine="0" autoPict="0">
                <anchor moveWithCells="1">
                  <from>
                    <xdr:col>8</xdr:col>
                    <xdr:colOff>38100</xdr:colOff>
                    <xdr:row>22</xdr:row>
                    <xdr:rowOff>38100</xdr:rowOff>
                  </from>
                  <to>
                    <xdr:col>8</xdr:col>
                    <xdr:colOff>342900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Check Box 8">
              <controlPr defaultSize="0" autoFill="0" autoLine="0" autoPict="0">
                <anchor moveWithCells="1">
                  <from>
                    <xdr:col>8</xdr:col>
                    <xdr:colOff>657225</xdr:colOff>
                    <xdr:row>22</xdr:row>
                    <xdr:rowOff>38100</xdr:rowOff>
                  </from>
                  <to>
                    <xdr:col>8</xdr:col>
                    <xdr:colOff>962025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Check Box 9">
              <controlPr defaultSize="0" autoFill="0" autoLine="0" autoPict="0">
                <anchor moveWithCells="1">
                  <from>
                    <xdr:col>8</xdr:col>
                    <xdr:colOff>38100</xdr:colOff>
                    <xdr:row>23</xdr:row>
                    <xdr:rowOff>38100</xdr:rowOff>
                  </from>
                  <to>
                    <xdr:col>8</xdr:col>
                    <xdr:colOff>342900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Check Box 10">
              <controlPr defaultSize="0" autoFill="0" autoLine="0" autoPict="0">
                <anchor moveWithCells="1">
                  <from>
                    <xdr:col>8</xdr:col>
                    <xdr:colOff>657225</xdr:colOff>
                    <xdr:row>23</xdr:row>
                    <xdr:rowOff>38100</xdr:rowOff>
                  </from>
                  <to>
                    <xdr:col>8</xdr:col>
                    <xdr:colOff>962025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Check Box 11">
              <controlPr defaultSize="0" autoFill="0" autoLine="0" autoPict="0">
                <anchor moveWithCells="1">
                  <from>
                    <xdr:col>8</xdr:col>
                    <xdr:colOff>38100</xdr:colOff>
                    <xdr:row>24</xdr:row>
                    <xdr:rowOff>38100</xdr:rowOff>
                  </from>
                  <to>
                    <xdr:col>8</xdr:col>
                    <xdr:colOff>342900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Check Box 12">
              <controlPr defaultSize="0" autoFill="0" autoLine="0" autoPict="0">
                <anchor moveWithCells="1">
                  <from>
                    <xdr:col>8</xdr:col>
                    <xdr:colOff>657225</xdr:colOff>
                    <xdr:row>24</xdr:row>
                    <xdr:rowOff>38100</xdr:rowOff>
                  </from>
                  <to>
                    <xdr:col>8</xdr:col>
                    <xdr:colOff>962025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Check Box 13">
              <controlPr defaultSize="0" autoFill="0" autoLine="0" autoPict="0">
                <anchor moveWithCells="1">
                  <from>
                    <xdr:col>8</xdr:col>
                    <xdr:colOff>38100</xdr:colOff>
                    <xdr:row>26</xdr:row>
                    <xdr:rowOff>38100</xdr:rowOff>
                  </from>
                  <to>
                    <xdr:col>8</xdr:col>
                    <xdr:colOff>342900</xdr:colOff>
                    <xdr:row>26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Check Box 14">
              <controlPr defaultSize="0" autoFill="0" autoLine="0" autoPict="0">
                <anchor moveWithCells="1">
                  <from>
                    <xdr:col>8</xdr:col>
                    <xdr:colOff>657225</xdr:colOff>
                    <xdr:row>26</xdr:row>
                    <xdr:rowOff>38100</xdr:rowOff>
                  </from>
                  <to>
                    <xdr:col>8</xdr:col>
                    <xdr:colOff>962025</xdr:colOff>
                    <xdr:row>26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Check Box 15">
              <controlPr defaultSize="0" autoFill="0" autoLine="0" autoPict="0">
                <anchor moveWithCells="1">
                  <from>
                    <xdr:col>8</xdr:col>
                    <xdr:colOff>38100</xdr:colOff>
                    <xdr:row>18</xdr:row>
                    <xdr:rowOff>38100</xdr:rowOff>
                  </from>
                  <to>
                    <xdr:col>8</xdr:col>
                    <xdr:colOff>342900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Check Box 16">
              <controlPr defaultSize="0" autoFill="0" autoLine="0" autoPict="0">
                <anchor moveWithCells="1">
                  <from>
                    <xdr:col>8</xdr:col>
                    <xdr:colOff>657225</xdr:colOff>
                    <xdr:row>18</xdr:row>
                    <xdr:rowOff>38100</xdr:rowOff>
                  </from>
                  <to>
                    <xdr:col>8</xdr:col>
                    <xdr:colOff>962025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Check Box 17">
              <controlPr defaultSize="0" autoFill="0" autoLine="0" autoPict="0">
                <anchor moveWithCells="1">
                  <from>
                    <xdr:col>8</xdr:col>
                    <xdr:colOff>38100</xdr:colOff>
                    <xdr:row>25</xdr:row>
                    <xdr:rowOff>38100</xdr:rowOff>
                  </from>
                  <to>
                    <xdr:col>8</xdr:col>
                    <xdr:colOff>342900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Check Box 18">
              <controlPr defaultSize="0" autoFill="0" autoLine="0" autoPict="0">
                <anchor moveWithCells="1">
                  <from>
                    <xdr:col>8</xdr:col>
                    <xdr:colOff>657225</xdr:colOff>
                    <xdr:row>25</xdr:row>
                    <xdr:rowOff>38100</xdr:rowOff>
                  </from>
                  <to>
                    <xdr:col>8</xdr:col>
                    <xdr:colOff>962025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Check Box 19">
              <controlPr defaultSize="0" autoFill="0" autoLine="0" autoPict="0">
                <anchor moveWithCells="1">
                  <from>
                    <xdr:col>8</xdr:col>
                    <xdr:colOff>38100</xdr:colOff>
                    <xdr:row>28</xdr:row>
                    <xdr:rowOff>38100</xdr:rowOff>
                  </from>
                  <to>
                    <xdr:col>8</xdr:col>
                    <xdr:colOff>342900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Check Box 20">
              <controlPr defaultSize="0" autoFill="0" autoLine="0" autoPict="0">
                <anchor moveWithCells="1">
                  <from>
                    <xdr:col>8</xdr:col>
                    <xdr:colOff>657225</xdr:colOff>
                    <xdr:row>28</xdr:row>
                    <xdr:rowOff>38100</xdr:rowOff>
                  </from>
                  <to>
                    <xdr:col>8</xdr:col>
                    <xdr:colOff>962025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Check Box 21">
              <controlPr defaultSize="0" autoFill="0" autoLine="0" autoPict="0">
                <anchor moveWithCells="1">
                  <from>
                    <xdr:col>8</xdr:col>
                    <xdr:colOff>38100</xdr:colOff>
                    <xdr:row>15</xdr:row>
                    <xdr:rowOff>38100</xdr:rowOff>
                  </from>
                  <to>
                    <xdr:col>8</xdr:col>
                    <xdr:colOff>342900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Check Box 22">
              <controlPr defaultSize="0" autoFill="0" autoLine="0" autoPict="0">
                <anchor moveWithCells="1">
                  <from>
                    <xdr:col>8</xdr:col>
                    <xdr:colOff>657225</xdr:colOff>
                    <xdr:row>15</xdr:row>
                    <xdr:rowOff>38100</xdr:rowOff>
                  </from>
                  <to>
                    <xdr:col>8</xdr:col>
                    <xdr:colOff>962025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Check Box 23">
              <controlPr defaultSize="0" autoFill="0" autoLine="0" autoPict="0">
                <anchor moveWithCells="1">
                  <from>
                    <xdr:col>8</xdr:col>
                    <xdr:colOff>38100</xdr:colOff>
                    <xdr:row>16</xdr:row>
                    <xdr:rowOff>38100</xdr:rowOff>
                  </from>
                  <to>
                    <xdr:col>8</xdr:col>
                    <xdr:colOff>342900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Check Box 24">
              <controlPr defaultSize="0" autoFill="0" autoLine="0" autoPict="0">
                <anchor moveWithCells="1">
                  <from>
                    <xdr:col>8</xdr:col>
                    <xdr:colOff>657225</xdr:colOff>
                    <xdr:row>16</xdr:row>
                    <xdr:rowOff>38100</xdr:rowOff>
                  </from>
                  <to>
                    <xdr:col>8</xdr:col>
                    <xdr:colOff>962025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Check Box 25">
              <controlPr defaultSize="0" autoFill="0" autoLine="0" autoPict="0">
                <anchor moveWithCells="1">
                  <from>
                    <xdr:col>8</xdr:col>
                    <xdr:colOff>38100</xdr:colOff>
                    <xdr:row>17</xdr:row>
                    <xdr:rowOff>38100</xdr:rowOff>
                  </from>
                  <to>
                    <xdr:col>8</xdr:col>
                    <xdr:colOff>342900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Check Box 26">
              <controlPr defaultSize="0" autoFill="0" autoLine="0" autoPict="0">
                <anchor moveWithCells="1">
                  <from>
                    <xdr:col>8</xdr:col>
                    <xdr:colOff>657225</xdr:colOff>
                    <xdr:row>17</xdr:row>
                    <xdr:rowOff>38100</xdr:rowOff>
                  </from>
                  <to>
                    <xdr:col>8</xdr:col>
                    <xdr:colOff>962025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0" name="Check Box 27">
              <controlPr defaultSize="0" autoFill="0" autoLine="0" autoPict="0">
                <anchor moveWithCells="1">
                  <from>
                    <xdr:col>8</xdr:col>
                    <xdr:colOff>38100</xdr:colOff>
                    <xdr:row>22</xdr:row>
                    <xdr:rowOff>38100</xdr:rowOff>
                  </from>
                  <to>
                    <xdr:col>8</xdr:col>
                    <xdr:colOff>342900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1" name="Check Box 28">
              <controlPr defaultSize="0" autoFill="0" autoLine="0" autoPict="0">
                <anchor moveWithCells="1">
                  <from>
                    <xdr:col>8</xdr:col>
                    <xdr:colOff>657225</xdr:colOff>
                    <xdr:row>22</xdr:row>
                    <xdr:rowOff>38100</xdr:rowOff>
                  </from>
                  <to>
                    <xdr:col>8</xdr:col>
                    <xdr:colOff>962025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2" name="Check Box 29">
              <controlPr defaultSize="0" autoFill="0" autoLine="0" autoPict="0">
                <anchor moveWithCells="1">
                  <from>
                    <xdr:col>8</xdr:col>
                    <xdr:colOff>38100</xdr:colOff>
                    <xdr:row>23</xdr:row>
                    <xdr:rowOff>38100</xdr:rowOff>
                  </from>
                  <to>
                    <xdr:col>8</xdr:col>
                    <xdr:colOff>342900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3" name="Check Box 30">
              <controlPr defaultSize="0" autoFill="0" autoLine="0" autoPict="0">
                <anchor moveWithCells="1">
                  <from>
                    <xdr:col>8</xdr:col>
                    <xdr:colOff>657225</xdr:colOff>
                    <xdr:row>23</xdr:row>
                    <xdr:rowOff>38100</xdr:rowOff>
                  </from>
                  <to>
                    <xdr:col>8</xdr:col>
                    <xdr:colOff>962025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34" name="Check Box 31">
              <controlPr defaultSize="0" autoFill="0" autoLine="0" autoPict="0">
                <anchor moveWithCells="1">
                  <from>
                    <xdr:col>8</xdr:col>
                    <xdr:colOff>38100</xdr:colOff>
                    <xdr:row>24</xdr:row>
                    <xdr:rowOff>38100</xdr:rowOff>
                  </from>
                  <to>
                    <xdr:col>8</xdr:col>
                    <xdr:colOff>342900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35" name="Check Box 32">
              <controlPr defaultSize="0" autoFill="0" autoLine="0" autoPict="0">
                <anchor moveWithCells="1">
                  <from>
                    <xdr:col>8</xdr:col>
                    <xdr:colOff>657225</xdr:colOff>
                    <xdr:row>24</xdr:row>
                    <xdr:rowOff>38100</xdr:rowOff>
                  </from>
                  <to>
                    <xdr:col>8</xdr:col>
                    <xdr:colOff>962025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36" name="Check Box 33">
              <controlPr defaultSize="0" autoFill="0" autoLine="0" autoPict="0">
                <anchor moveWithCells="1">
                  <from>
                    <xdr:col>8</xdr:col>
                    <xdr:colOff>38100</xdr:colOff>
                    <xdr:row>26</xdr:row>
                    <xdr:rowOff>38100</xdr:rowOff>
                  </from>
                  <to>
                    <xdr:col>8</xdr:col>
                    <xdr:colOff>342900</xdr:colOff>
                    <xdr:row>26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37" name="Check Box 34">
              <controlPr defaultSize="0" autoFill="0" autoLine="0" autoPict="0">
                <anchor moveWithCells="1">
                  <from>
                    <xdr:col>8</xdr:col>
                    <xdr:colOff>657225</xdr:colOff>
                    <xdr:row>26</xdr:row>
                    <xdr:rowOff>38100</xdr:rowOff>
                  </from>
                  <to>
                    <xdr:col>8</xdr:col>
                    <xdr:colOff>962025</xdr:colOff>
                    <xdr:row>26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38" name="Check Box 35">
              <controlPr defaultSize="0" autoFill="0" autoLine="0" autoPict="0">
                <anchor moveWithCells="1">
                  <from>
                    <xdr:col>8</xdr:col>
                    <xdr:colOff>38100</xdr:colOff>
                    <xdr:row>18</xdr:row>
                    <xdr:rowOff>38100</xdr:rowOff>
                  </from>
                  <to>
                    <xdr:col>8</xdr:col>
                    <xdr:colOff>342900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39" name="Check Box 36">
              <controlPr defaultSize="0" autoFill="0" autoLine="0" autoPict="0">
                <anchor moveWithCells="1">
                  <from>
                    <xdr:col>8</xdr:col>
                    <xdr:colOff>657225</xdr:colOff>
                    <xdr:row>18</xdr:row>
                    <xdr:rowOff>38100</xdr:rowOff>
                  </from>
                  <to>
                    <xdr:col>8</xdr:col>
                    <xdr:colOff>962025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40" name="Check Box 37">
              <controlPr defaultSize="0" autoFill="0" autoLine="0" autoPict="0">
                <anchor moveWithCells="1">
                  <from>
                    <xdr:col>8</xdr:col>
                    <xdr:colOff>38100</xdr:colOff>
                    <xdr:row>25</xdr:row>
                    <xdr:rowOff>38100</xdr:rowOff>
                  </from>
                  <to>
                    <xdr:col>8</xdr:col>
                    <xdr:colOff>342900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41" name="Check Box 38">
              <controlPr defaultSize="0" autoFill="0" autoLine="0" autoPict="0">
                <anchor moveWithCells="1">
                  <from>
                    <xdr:col>8</xdr:col>
                    <xdr:colOff>657225</xdr:colOff>
                    <xdr:row>25</xdr:row>
                    <xdr:rowOff>38100</xdr:rowOff>
                  </from>
                  <to>
                    <xdr:col>8</xdr:col>
                    <xdr:colOff>962025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42" name="Check Box 39">
              <controlPr defaultSize="0" autoFill="0" autoLine="0" autoPict="0">
                <anchor moveWithCells="1">
                  <from>
                    <xdr:col>8</xdr:col>
                    <xdr:colOff>38100</xdr:colOff>
                    <xdr:row>28</xdr:row>
                    <xdr:rowOff>38100</xdr:rowOff>
                  </from>
                  <to>
                    <xdr:col>8</xdr:col>
                    <xdr:colOff>342900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r:id="rId43" name="Check Box 40">
              <controlPr defaultSize="0" autoFill="0" autoLine="0" autoPict="0">
                <anchor moveWithCells="1">
                  <from>
                    <xdr:col>8</xdr:col>
                    <xdr:colOff>657225</xdr:colOff>
                    <xdr:row>28</xdr:row>
                    <xdr:rowOff>38100</xdr:rowOff>
                  </from>
                  <to>
                    <xdr:col>8</xdr:col>
                    <xdr:colOff>962025</xdr:colOff>
                    <xdr:row>29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HDR Quarterly QA</vt:lpstr>
      <vt:lpstr>Source Receipt Survey</vt:lpstr>
      <vt:lpstr>Exit Dose Calibration</vt:lpstr>
      <vt:lpstr>New Source Calibration</vt:lpstr>
      <vt:lpstr>New Source Survey</vt:lpstr>
      <vt:lpstr>Decay Chart</vt:lpstr>
      <vt:lpstr>Daily Safety &amp; QA</vt:lpstr>
      <vt:lpstr>Power Failure Recovery</vt:lpstr>
      <vt:lpstr>Applicators &amp; Transfer Tubes</vt:lpstr>
      <vt:lpstr>Source Return Survey</vt:lpstr>
    </vt:vector>
  </TitlesOfParts>
  <Company>KGH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Halsall, Tracy</dc:creator>
  <cp:lastModifiedBy>"gsalomon"</cp:lastModifiedBy>
  <cp:lastPrinted>2018-04-06T20:36:34Z</cp:lastPrinted>
  <dcterms:created xsi:type="dcterms:W3CDTF">2015-11-26T15:27:16Z</dcterms:created>
  <dcterms:modified xsi:type="dcterms:W3CDTF">2018-12-10T21:05:08Z</dcterms:modified>
</cp:coreProperties>
</file>